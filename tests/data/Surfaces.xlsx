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lopez\Documents\Specifications\Loughborough 2025\"/>
    </mc:Choice>
  </mc:AlternateContent>
  <xr:revisionPtr revIDLastSave="0" documentId="13_ncr:9_{A2B7C6EA-17D7-465B-B5D6-20788DBBE3F0}" xr6:coauthVersionLast="47" xr6:coauthVersionMax="47" xr10:uidLastSave="{00000000-0000-0000-0000-000000000000}"/>
  <bookViews>
    <workbookView xWindow="-28920" yWindow="-120" windowWidth="29040" windowHeight="15720" xr2:uid="{F8EB65FE-2DA9-488A-BC9F-5D0F9C709CE8}"/>
  </bookViews>
  <sheets>
    <sheet name="Surface1" sheetId="1" r:id="rId1"/>
    <sheet name="Surface2" sheetId="3" r:id="rId2"/>
    <sheet name="Surface3" sheetId="5" r:id="rId3"/>
    <sheet name="Surface4" sheetId="7" r:id="rId4"/>
  </sheets>
  <calcPr calcId="0"/>
</workbook>
</file>

<file path=xl/calcChain.xml><?xml version="1.0" encoding="utf-8"?>
<calcChain xmlns="http://schemas.openxmlformats.org/spreadsheetml/2006/main">
  <c r="M128" i="7" l="1"/>
  <c r="M144" i="7"/>
  <c r="K339" i="7"/>
  <c r="L339" i="7" s="1"/>
  <c r="J339" i="7"/>
  <c r="N339" i="7" s="1"/>
  <c r="J338" i="7"/>
  <c r="J337" i="7"/>
  <c r="K337" i="7" s="1"/>
  <c r="J336" i="7"/>
  <c r="K335" i="7"/>
  <c r="L335" i="7" s="1"/>
  <c r="J335" i="7"/>
  <c r="J334" i="7"/>
  <c r="K333" i="7"/>
  <c r="L333" i="7" s="1"/>
  <c r="J333" i="7"/>
  <c r="J332" i="7"/>
  <c r="K331" i="7"/>
  <c r="L331" i="7" s="1"/>
  <c r="J331" i="7"/>
  <c r="J330" i="7"/>
  <c r="J329" i="7"/>
  <c r="K329" i="7" s="1"/>
  <c r="J328" i="7"/>
  <c r="J327" i="7"/>
  <c r="J326" i="7"/>
  <c r="K325" i="7"/>
  <c r="L325" i="7" s="1"/>
  <c r="J325" i="7"/>
  <c r="J324" i="7"/>
  <c r="K323" i="7"/>
  <c r="L323" i="7" s="1"/>
  <c r="J323" i="7"/>
  <c r="J322" i="7"/>
  <c r="J321" i="7"/>
  <c r="K321" i="7" s="1"/>
  <c r="J320" i="7"/>
  <c r="K319" i="7"/>
  <c r="L319" i="7" s="1"/>
  <c r="J319" i="7"/>
  <c r="J318" i="7"/>
  <c r="K317" i="7"/>
  <c r="L317" i="7" s="1"/>
  <c r="J317" i="7"/>
  <c r="N317" i="7" s="1"/>
  <c r="J316" i="7"/>
  <c r="K315" i="7"/>
  <c r="L315" i="7" s="1"/>
  <c r="J315" i="7"/>
  <c r="J314" i="7"/>
  <c r="J313" i="7"/>
  <c r="K313" i="7" s="1"/>
  <c r="J312" i="7"/>
  <c r="J311" i="7"/>
  <c r="J310" i="7"/>
  <c r="K309" i="7"/>
  <c r="L309" i="7" s="1"/>
  <c r="J309" i="7"/>
  <c r="J308" i="7"/>
  <c r="K307" i="7"/>
  <c r="L307" i="7" s="1"/>
  <c r="J307" i="7"/>
  <c r="J306" i="7"/>
  <c r="J305" i="7"/>
  <c r="K305" i="7" s="1"/>
  <c r="J304" i="7"/>
  <c r="K303" i="7"/>
  <c r="L303" i="7" s="1"/>
  <c r="J303" i="7"/>
  <c r="J302" i="7"/>
  <c r="K301" i="7"/>
  <c r="L301" i="7" s="1"/>
  <c r="J301" i="7"/>
  <c r="J300" i="7"/>
  <c r="K299" i="7"/>
  <c r="L299" i="7" s="1"/>
  <c r="J299" i="7"/>
  <c r="N299" i="7" s="1"/>
  <c r="J298" i="7"/>
  <c r="J297" i="7"/>
  <c r="K297" i="7" s="1"/>
  <c r="J296" i="7"/>
  <c r="K295" i="7"/>
  <c r="L295" i="7" s="1"/>
  <c r="J295" i="7"/>
  <c r="J294" i="7"/>
  <c r="K293" i="7"/>
  <c r="L293" i="7" s="1"/>
  <c r="J293" i="7"/>
  <c r="J292" i="7"/>
  <c r="K291" i="7"/>
  <c r="L291" i="7" s="1"/>
  <c r="J291" i="7"/>
  <c r="N291" i="7" s="1"/>
  <c r="J290" i="7"/>
  <c r="L289" i="7"/>
  <c r="N289" i="7" s="1"/>
  <c r="J289" i="7"/>
  <c r="K289" i="7" s="1"/>
  <c r="M289" i="7" s="1"/>
  <c r="J288" i="7"/>
  <c r="K287" i="7"/>
  <c r="L287" i="7" s="1"/>
  <c r="J287" i="7"/>
  <c r="J286" i="7"/>
  <c r="K285" i="7"/>
  <c r="L285" i="7" s="1"/>
  <c r="J285" i="7"/>
  <c r="J284" i="7"/>
  <c r="K283" i="7"/>
  <c r="J283" i="7"/>
  <c r="J282" i="7"/>
  <c r="J281" i="7"/>
  <c r="K281" i="7" s="1"/>
  <c r="J280" i="7"/>
  <c r="K279" i="7"/>
  <c r="L279" i="7" s="1"/>
  <c r="J279" i="7"/>
  <c r="K278" i="7"/>
  <c r="L278" i="7" s="1"/>
  <c r="N278" i="7" s="1"/>
  <c r="J278" i="7"/>
  <c r="K277" i="7"/>
  <c r="L277" i="7" s="1"/>
  <c r="J277" i="7"/>
  <c r="L276" i="7"/>
  <c r="K276" i="7"/>
  <c r="M276" i="7" s="1"/>
  <c r="J276" i="7"/>
  <c r="K275" i="7"/>
  <c r="J275" i="7"/>
  <c r="J274" i="7"/>
  <c r="J273" i="7"/>
  <c r="K273" i="7" s="1"/>
  <c r="K272" i="7"/>
  <c r="L272" i="7" s="1"/>
  <c r="J272" i="7"/>
  <c r="K271" i="7"/>
  <c r="L271" i="7" s="1"/>
  <c r="J271" i="7"/>
  <c r="N270" i="7"/>
  <c r="K270" i="7"/>
  <c r="L270" i="7" s="1"/>
  <c r="J270" i="7"/>
  <c r="K269" i="7"/>
  <c r="L269" i="7" s="1"/>
  <c r="J269" i="7"/>
  <c r="K268" i="7"/>
  <c r="J268" i="7"/>
  <c r="K267" i="7"/>
  <c r="J267" i="7"/>
  <c r="J266" i="7"/>
  <c r="J265" i="7"/>
  <c r="K265" i="7" s="1"/>
  <c r="K264" i="7"/>
  <c r="L264" i="7" s="1"/>
  <c r="M264" i="7" s="1"/>
  <c r="J264" i="7"/>
  <c r="K263" i="7"/>
  <c r="L263" i="7" s="1"/>
  <c r="J263" i="7"/>
  <c r="K262" i="7"/>
  <c r="L262" i="7" s="1"/>
  <c r="N262" i="7" s="1"/>
  <c r="J262" i="7"/>
  <c r="K261" i="7"/>
  <c r="J261" i="7"/>
  <c r="K260" i="7"/>
  <c r="L260" i="7" s="1"/>
  <c r="M260" i="7" s="1"/>
  <c r="J260" i="7"/>
  <c r="K259" i="7"/>
  <c r="J259" i="7"/>
  <c r="J258" i="7"/>
  <c r="L257" i="7"/>
  <c r="N257" i="7" s="1"/>
  <c r="K257" i="7"/>
  <c r="J257" i="7"/>
  <c r="K256" i="7"/>
  <c r="L256" i="7" s="1"/>
  <c r="M256" i="7" s="1"/>
  <c r="J256" i="7"/>
  <c r="J255" i="7"/>
  <c r="K254" i="7"/>
  <c r="J254" i="7"/>
  <c r="K253" i="7"/>
  <c r="J253" i="7"/>
  <c r="J252" i="7"/>
  <c r="K251" i="7"/>
  <c r="J251" i="7"/>
  <c r="J250" i="7"/>
  <c r="N249" i="7"/>
  <c r="M249" i="7"/>
  <c r="O249" i="7" s="1"/>
  <c r="L249" i="7"/>
  <c r="K249" i="7"/>
  <c r="J249" i="7"/>
  <c r="K248" i="7"/>
  <c r="L248" i="7" s="1"/>
  <c r="M248" i="7" s="1"/>
  <c r="J248" i="7"/>
  <c r="N248" i="7" s="1"/>
  <c r="K247" i="7"/>
  <c r="L247" i="7" s="1"/>
  <c r="J247" i="7"/>
  <c r="K246" i="7"/>
  <c r="L246" i="7" s="1"/>
  <c r="M246" i="7" s="1"/>
  <c r="J246" i="7"/>
  <c r="K245" i="7"/>
  <c r="J245" i="7"/>
  <c r="K244" i="7"/>
  <c r="L244" i="7" s="1"/>
  <c r="J244" i="7"/>
  <c r="K243" i="7"/>
  <c r="J243" i="7"/>
  <c r="J242" i="7"/>
  <c r="N241" i="7"/>
  <c r="L241" i="7"/>
  <c r="M241" i="7" s="1"/>
  <c r="O241" i="7" s="1"/>
  <c r="K241" i="7"/>
  <c r="J241" i="7"/>
  <c r="K240" i="7"/>
  <c r="L240" i="7" s="1"/>
  <c r="M240" i="7" s="1"/>
  <c r="J240" i="7"/>
  <c r="N240" i="7" s="1"/>
  <c r="K239" i="7"/>
  <c r="L239" i="7" s="1"/>
  <c r="J239" i="7"/>
  <c r="N238" i="7"/>
  <c r="K238" i="7"/>
  <c r="L238" i="7" s="1"/>
  <c r="M238" i="7" s="1"/>
  <c r="J238" i="7"/>
  <c r="K237" i="7"/>
  <c r="J237" i="7"/>
  <c r="J236" i="7"/>
  <c r="K235" i="7"/>
  <c r="J235" i="7"/>
  <c r="J234" i="7"/>
  <c r="L233" i="7"/>
  <c r="N233" i="7" s="1"/>
  <c r="K233" i="7"/>
  <c r="J233" i="7"/>
  <c r="K232" i="7"/>
  <c r="L232" i="7" s="1"/>
  <c r="M232" i="7" s="1"/>
  <c r="J232" i="7"/>
  <c r="J231" i="7"/>
  <c r="K231" i="7" s="1"/>
  <c r="L231" i="7" s="1"/>
  <c r="K230" i="7"/>
  <c r="L230" i="7" s="1"/>
  <c r="M230" i="7" s="1"/>
  <c r="J230" i="7"/>
  <c r="K229" i="7"/>
  <c r="J229" i="7"/>
  <c r="J228" i="7"/>
  <c r="K227" i="7"/>
  <c r="J227" i="7"/>
  <c r="J226" i="7"/>
  <c r="M225" i="7"/>
  <c r="L225" i="7"/>
  <c r="N225" i="7" s="1"/>
  <c r="K225" i="7"/>
  <c r="J225" i="7"/>
  <c r="K224" i="7"/>
  <c r="L224" i="7" s="1"/>
  <c r="M224" i="7" s="1"/>
  <c r="J224" i="7"/>
  <c r="N224" i="7" s="1"/>
  <c r="J223" i="7"/>
  <c r="K222" i="7"/>
  <c r="L222" i="7" s="1"/>
  <c r="M222" i="7" s="1"/>
  <c r="J222" i="7"/>
  <c r="K221" i="7"/>
  <c r="J221" i="7"/>
  <c r="K220" i="7"/>
  <c r="L220" i="7" s="1"/>
  <c r="J220" i="7"/>
  <c r="K219" i="7"/>
  <c r="J219" i="7"/>
  <c r="J218" i="7"/>
  <c r="M217" i="7"/>
  <c r="L217" i="7"/>
  <c r="N217" i="7" s="1"/>
  <c r="K217" i="7"/>
  <c r="J217" i="7"/>
  <c r="K216" i="7"/>
  <c r="L216" i="7" s="1"/>
  <c r="M216" i="7" s="1"/>
  <c r="J216" i="7"/>
  <c r="K215" i="7"/>
  <c r="L215" i="7" s="1"/>
  <c r="J215" i="7"/>
  <c r="N214" i="7"/>
  <c r="K214" i="7"/>
  <c r="L214" i="7" s="1"/>
  <c r="M214" i="7" s="1"/>
  <c r="J214" i="7"/>
  <c r="K213" i="7"/>
  <c r="J213" i="7"/>
  <c r="K212" i="7"/>
  <c r="J212" i="7"/>
  <c r="K211" i="7"/>
  <c r="J211" i="7"/>
  <c r="J210" i="7"/>
  <c r="N209" i="7"/>
  <c r="L209" i="7"/>
  <c r="M209" i="7" s="1"/>
  <c r="K209" i="7"/>
  <c r="J209" i="7"/>
  <c r="K208" i="7"/>
  <c r="L208" i="7" s="1"/>
  <c r="M208" i="7" s="1"/>
  <c r="J208" i="7"/>
  <c r="N208" i="7" s="1"/>
  <c r="J207" i="7"/>
  <c r="N206" i="7"/>
  <c r="K206" i="7"/>
  <c r="L206" i="7" s="1"/>
  <c r="M206" i="7" s="1"/>
  <c r="O206" i="7" s="1"/>
  <c r="J206" i="7"/>
  <c r="K205" i="7"/>
  <c r="J205" i="7"/>
  <c r="J204" i="7"/>
  <c r="K203" i="7"/>
  <c r="J203" i="7"/>
  <c r="J202" i="7"/>
  <c r="M201" i="7"/>
  <c r="L201" i="7"/>
  <c r="N201" i="7" s="1"/>
  <c r="K201" i="7"/>
  <c r="J201" i="7"/>
  <c r="K200" i="7"/>
  <c r="L200" i="7" s="1"/>
  <c r="M200" i="7" s="1"/>
  <c r="J200" i="7"/>
  <c r="N200" i="7" s="1"/>
  <c r="K199" i="7"/>
  <c r="L199" i="7" s="1"/>
  <c r="J199" i="7"/>
  <c r="K198" i="7"/>
  <c r="L198" i="7" s="1"/>
  <c r="M198" i="7" s="1"/>
  <c r="J198" i="7"/>
  <c r="K197" i="7"/>
  <c r="J197" i="7"/>
  <c r="K196" i="7"/>
  <c r="J196" i="7"/>
  <c r="K195" i="7"/>
  <c r="J195" i="7"/>
  <c r="J194" i="7"/>
  <c r="N193" i="7"/>
  <c r="L193" i="7"/>
  <c r="M193" i="7" s="1"/>
  <c r="K193" i="7"/>
  <c r="J193" i="7"/>
  <c r="K192" i="7"/>
  <c r="L192" i="7" s="1"/>
  <c r="M192" i="7" s="1"/>
  <c r="J192" i="7"/>
  <c r="J191" i="7"/>
  <c r="K190" i="7"/>
  <c r="J190" i="7"/>
  <c r="K189" i="7"/>
  <c r="J189" i="7"/>
  <c r="J188" i="7"/>
  <c r="K187" i="7"/>
  <c r="J187" i="7"/>
  <c r="J186" i="7"/>
  <c r="M185" i="7"/>
  <c r="L185" i="7"/>
  <c r="N185" i="7" s="1"/>
  <c r="K185" i="7"/>
  <c r="J185" i="7"/>
  <c r="K184" i="7"/>
  <c r="L184" i="7" s="1"/>
  <c r="M184" i="7" s="1"/>
  <c r="J184" i="7"/>
  <c r="J183" i="7"/>
  <c r="K183" i="7" s="1"/>
  <c r="L183" i="7" s="1"/>
  <c r="K182" i="7"/>
  <c r="J182" i="7"/>
  <c r="K181" i="7"/>
  <c r="J181" i="7"/>
  <c r="K180" i="7"/>
  <c r="L180" i="7" s="1"/>
  <c r="M180" i="7" s="1"/>
  <c r="J180" i="7"/>
  <c r="K179" i="7"/>
  <c r="J179" i="7"/>
  <c r="J178" i="7"/>
  <c r="L177" i="7"/>
  <c r="K177" i="7"/>
  <c r="J177" i="7"/>
  <c r="K176" i="7"/>
  <c r="L176" i="7" s="1"/>
  <c r="M176" i="7" s="1"/>
  <c r="J176" i="7"/>
  <c r="N176" i="7" s="1"/>
  <c r="K175" i="7"/>
  <c r="L175" i="7" s="1"/>
  <c r="J175" i="7"/>
  <c r="K174" i="7"/>
  <c r="J174" i="7"/>
  <c r="K173" i="7"/>
  <c r="J173" i="7"/>
  <c r="J172" i="7"/>
  <c r="K171" i="7"/>
  <c r="J171" i="7"/>
  <c r="J170" i="7"/>
  <c r="N169" i="7"/>
  <c r="M169" i="7"/>
  <c r="O169" i="7" s="1"/>
  <c r="L169" i="7"/>
  <c r="K169" i="7"/>
  <c r="J169" i="7"/>
  <c r="K168" i="7"/>
  <c r="L168" i="7" s="1"/>
  <c r="M168" i="7" s="1"/>
  <c r="J168" i="7"/>
  <c r="L167" i="7"/>
  <c r="K167" i="7"/>
  <c r="J167" i="7"/>
  <c r="K166" i="7"/>
  <c r="J166" i="7"/>
  <c r="K165" i="7"/>
  <c r="J165" i="7"/>
  <c r="K164" i="7"/>
  <c r="L164" i="7" s="1"/>
  <c r="J164" i="7"/>
  <c r="K163" i="7"/>
  <c r="J163" i="7"/>
  <c r="J162" i="7"/>
  <c r="L161" i="7"/>
  <c r="K161" i="7"/>
  <c r="J161" i="7"/>
  <c r="K160" i="7"/>
  <c r="L160" i="7" s="1"/>
  <c r="M160" i="7" s="1"/>
  <c r="J160" i="7"/>
  <c r="N160" i="7" s="1"/>
  <c r="L159" i="7"/>
  <c r="K159" i="7"/>
  <c r="J159" i="7"/>
  <c r="K158" i="7"/>
  <c r="J158" i="7"/>
  <c r="K157" i="7"/>
  <c r="J157" i="7"/>
  <c r="J156" i="7"/>
  <c r="K155" i="7"/>
  <c r="J155" i="7"/>
  <c r="J154" i="7"/>
  <c r="N153" i="7"/>
  <c r="M153" i="7"/>
  <c r="L153" i="7"/>
  <c r="K153" i="7"/>
  <c r="J153" i="7"/>
  <c r="K152" i="7"/>
  <c r="L152" i="7" s="1"/>
  <c r="M152" i="7" s="1"/>
  <c r="J152" i="7"/>
  <c r="K151" i="7"/>
  <c r="L151" i="7" s="1"/>
  <c r="J151" i="7"/>
  <c r="K150" i="7"/>
  <c r="J150" i="7"/>
  <c r="K149" i="7"/>
  <c r="J149" i="7"/>
  <c r="K148" i="7"/>
  <c r="J148" i="7"/>
  <c r="K147" i="7"/>
  <c r="J147" i="7"/>
  <c r="J146" i="7"/>
  <c r="L145" i="7"/>
  <c r="N145" i="7" s="1"/>
  <c r="K145" i="7"/>
  <c r="J145" i="7"/>
  <c r="K144" i="7"/>
  <c r="L144" i="7" s="1"/>
  <c r="J144" i="7"/>
  <c r="L143" i="7"/>
  <c r="K143" i="7"/>
  <c r="J143" i="7"/>
  <c r="K142" i="7"/>
  <c r="J142" i="7"/>
  <c r="K141" i="7"/>
  <c r="J141" i="7"/>
  <c r="J140" i="7"/>
  <c r="K139" i="7"/>
  <c r="J139" i="7"/>
  <c r="J138" i="7"/>
  <c r="L137" i="7"/>
  <c r="M137" i="7" s="1"/>
  <c r="K137" i="7"/>
  <c r="J137" i="7"/>
  <c r="M136" i="7"/>
  <c r="K136" i="7"/>
  <c r="L136" i="7" s="1"/>
  <c r="J136" i="7"/>
  <c r="K135" i="7"/>
  <c r="L135" i="7" s="1"/>
  <c r="J135" i="7"/>
  <c r="K134" i="7"/>
  <c r="J134" i="7"/>
  <c r="K133" i="7"/>
  <c r="J133" i="7"/>
  <c r="L132" i="7"/>
  <c r="N132" i="7" s="1"/>
  <c r="K132" i="7"/>
  <c r="M132" i="7" s="1"/>
  <c r="J132" i="7"/>
  <c r="K131" i="7"/>
  <c r="J131" i="7"/>
  <c r="J130" i="7"/>
  <c r="L129" i="7"/>
  <c r="N129" i="7" s="1"/>
  <c r="K129" i="7"/>
  <c r="J129" i="7"/>
  <c r="K128" i="7"/>
  <c r="L128" i="7" s="1"/>
  <c r="J128" i="7"/>
  <c r="J127" i="7"/>
  <c r="K126" i="7"/>
  <c r="J126" i="7"/>
  <c r="K125" i="7"/>
  <c r="J125" i="7"/>
  <c r="J124" i="7"/>
  <c r="K124" i="7" s="1"/>
  <c r="L124" i="7" s="1"/>
  <c r="N124" i="7" s="1"/>
  <c r="K123" i="7"/>
  <c r="J123" i="7"/>
  <c r="J122" i="7"/>
  <c r="M121" i="7"/>
  <c r="L121" i="7"/>
  <c r="N121" i="7" s="1"/>
  <c r="K121" i="7"/>
  <c r="J121" i="7"/>
  <c r="K120" i="7"/>
  <c r="J120" i="7"/>
  <c r="L119" i="7"/>
  <c r="K119" i="7"/>
  <c r="J119" i="7"/>
  <c r="M118" i="7"/>
  <c r="K118" i="7"/>
  <c r="L118" i="7" s="1"/>
  <c r="N118" i="7" s="1"/>
  <c r="J118" i="7"/>
  <c r="K117" i="7"/>
  <c r="L117" i="7" s="1"/>
  <c r="J117" i="7"/>
  <c r="N117" i="7" s="1"/>
  <c r="J116" i="7"/>
  <c r="K116" i="7" s="1"/>
  <c r="L116" i="7" s="1"/>
  <c r="K115" i="7"/>
  <c r="L115" i="7" s="1"/>
  <c r="J115" i="7"/>
  <c r="J114" i="7"/>
  <c r="L113" i="7"/>
  <c r="K113" i="7"/>
  <c r="J113" i="7"/>
  <c r="K112" i="7"/>
  <c r="L112" i="7" s="1"/>
  <c r="J112" i="7"/>
  <c r="K111" i="7"/>
  <c r="J111" i="7"/>
  <c r="K110" i="7"/>
  <c r="L110" i="7" s="1"/>
  <c r="N110" i="7" s="1"/>
  <c r="J110" i="7"/>
  <c r="M109" i="7"/>
  <c r="K109" i="7"/>
  <c r="L109" i="7" s="1"/>
  <c r="J109" i="7"/>
  <c r="N109" i="7" s="1"/>
  <c r="J108" i="7"/>
  <c r="J107" i="7"/>
  <c r="N106" i="7"/>
  <c r="K106" i="7"/>
  <c r="L106" i="7" s="1"/>
  <c r="J106" i="7"/>
  <c r="M106" i="7" s="1"/>
  <c r="J105" i="7"/>
  <c r="J104" i="7"/>
  <c r="J103" i="7"/>
  <c r="K103" i="7" s="1"/>
  <c r="L102" i="7"/>
  <c r="N102" i="7" s="1"/>
  <c r="K102" i="7"/>
  <c r="J102" i="7"/>
  <c r="M102" i="7" s="1"/>
  <c r="J101" i="7"/>
  <c r="K101" i="7" s="1"/>
  <c r="L101" i="7" s="1"/>
  <c r="N101" i="7" s="1"/>
  <c r="J100" i="7"/>
  <c r="J99" i="7"/>
  <c r="K98" i="7"/>
  <c r="L98" i="7" s="1"/>
  <c r="N98" i="7" s="1"/>
  <c r="J98" i="7"/>
  <c r="J97" i="7"/>
  <c r="J96" i="7"/>
  <c r="J95" i="7"/>
  <c r="K95" i="7" s="1"/>
  <c r="L94" i="7"/>
  <c r="N94" i="7" s="1"/>
  <c r="K94" i="7"/>
  <c r="J94" i="7"/>
  <c r="M94" i="7" s="1"/>
  <c r="O94" i="7" s="1"/>
  <c r="L93" i="7"/>
  <c r="N93" i="7" s="1"/>
  <c r="J93" i="7"/>
  <c r="K93" i="7" s="1"/>
  <c r="J92" i="7"/>
  <c r="J91" i="7"/>
  <c r="K90" i="7"/>
  <c r="L90" i="7" s="1"/>
  <c r="N90" i="7" s="1"/>
  <c r="J90" i="7"/>
  <c r="J89" i="7"/>
  <c r="J88" i="7"/>
  <c r="J87" i="7"/>
  <c r="K87" i="7" s="1"/>
  <c r="L87" i="7" s="1"/>
  <c r="N87" i="7" s="1"/>
  <c r="L86" i="7"/>
  <c r="N86" i="7" s="1"/>
  <c r="K86" i="7"/>
  <c r="M86" i="7" s="1"/>
  <c r="O86" i="7" s="1"/>
  <c r="J86" i="7"/>
  <c r="J85" i="7"/>
  <c r="K85" i="7" s="1"/>
  <c r="L85" i="7" s="1"/>
  <c r="N85" i="7" s="1"/>
  <c r="J84" i="7"/>
  <c r="J83" i="7"/>
  <c r="N82" i="7"/>
  <c r="K82" i="7"/>
  <c r="L82" i="7" s="1"/>
  <c r="J82" i="7"/>
  <c r="M82" i="7" s="1"/>
  <c r="J81" i="7"/>
  <c r="J80" i="7"/>
  <c r="M79" i="7"/>
  <c r="J79" i="7"/>
  <c r="K79" i="7" s="1"/>
  <c r="L79" i="7" s="1"/>
  <c r="N79" i="7" s="1"/>
  <c r="L78" i="7"/>
  <c r="N78" i="7" s="1"/>
  <c r="K78" i="7"/>
  <c r="M78" i="7" s="1"/>
  <c r="J78" i="7"/>
  <c r="L77" i="7"/>
  <c r="N77" i="7" s="1"/>
  <c r="J77" i="7"/>
  <c r="K77" i="7" s="1"/>
  <c r="J76" i="7"/>
  <c r="J75" i="7"/>
  <c r="K74" i="7"/>
  <c r="L74" i="7" s="1"/>
  <c r="N74" i="7" s="1"/>
  <c r="J74" i="7"/>
  <c r="J73" i="7"/>
  <c r="J72" i="7"/>
  <c r="J71" i="7"/>
  <c r="K71" i="7" s="1"/>
  <c r="L71" i="7" s="1"/>
  <c r="N71" i="7" s="1"/>
  <c r="L70" i="7"/>
  <c r="N70" i="7" s="1"/>
  <c r="K70" i="7"/>
  <c r="M70" i="7" s="1"/>
  <c r="O70" i="7" s="1"/>
  <c r="J70" i="7"/>
  <c r="J69" i="7"/>
  <c r="K69" i="7" s="1"/>
  <c r="L69" i="7" s="1"/>
  <c r="N69" i="7" s="1"/>
  <c r="J68" i="7"/>
  <c r="J67" i="7"/>
  <c r="N66" i="7"/>
  <c r="K66" i="7"/>
  <c r="L66" i="7" s="1"/>
  <c r="J66" i="7"/>
  <c r="M66" i="7" s="1"/>
  <c r="J65" i="7"/>
  <c r="J64" i="7"/>
  <c r="M63" i="7"/>
  <c r="J63" i="7"/>
  <c r="K63" i="7" s="1"/>
  <c r="L63" i="7" s="1"/>
  <c r="N63" i="7" s="1"/>
  <c r="L62" i="7"/>
  <c r="N62" i="7" s="1"/>
  <c r="K62" i="7"/>
  <c r="M62" i="7" s="1"/>
  <c r="J62" i="7"/>
  <c r="J61" i="7"/>
  <c r="K61" i="7" s="1"/>
  <c r="L61" i="7" s="1"/>
  <c r="N61" i="7" s="1"/>
  <c r="J60" i="7"/>
  <c r="J59" i="7"/>
  <c r="K58" i="7"/>
  <c r="L58" i="7" s="1"/>
  <c r="N58" i="7" s="1"/>
  <c r="J58" i="7"/>
  <c r="M58" i="7" s="1"/>
  <c r="J57" i="7"/>
  <c r="J56" i="7"/>
  <c r="J55" i="7"/>
  <c r="K55" i="7" s="1"/>
  <c r="L55" i="7" s="1"/>
  <c r="N55" i="7" s="1"/>
  <c r="L54" i="7"/>
  <c r="N54" i="7" s="1"/>
  <c r="K54" i="7"/>
  <c r="M54" i="7" s="1"/>
  <c r="J54" i="7"/>
  <c r="J53" i="7"/>
  <c r="K53" i="7" s="1"/>
  <c r="L53" i="7" s="1"/>
  <c r="N53" i="7" s="1"/>
  <c r="J52" i="7"/>
  <c r="J51" i="7"/>
  <c r="K50" i="7"/>
  <c r="L50" i="7" s="1"/>
  <c r="N50" i="7" s="1"/>
  <c r="J50" i="7"/>
  <c r="M50" i="7" s="1"/>
  <c r="J49" i="7"/>
  <c r="J48" i="7"/>
  <c r="M47" i="7"/>
  <c r="J47" i="7"/>
  <c r="K47" i="7" s="1"/>
  <c r="L47" i="7" s="1"/>
  <c r="N47" i="7" s="1"/>
  <c r="L46" i="7"/>
  <c r="N46" i="7" s="1"/>
  <c r="K46" i="7"/>
  <c r="J46" i="7"/>
  <c r="M46" i="7" s="1"/>
  <c r="L45" i="7"/>
  <c r="N45" i="7" s="1"/>
  <c r="J45" i="7"/>
  <c r="K45" i="7" s="1"/>
  <c r="J44" i="7"/>
  <c r="J43" i="7"/>
  <c r="K42" i="7"/>
  <c r="L42" i="7" s="1"/>
  <c r="N42" i="7" s="1"/>
  <c r="J42" i="7"/>
  <c r="J41" i="7"/>
  <c r="J40" i="7"/>
  <c r="J39" i="7"/>
  <c r="K39" i="7" s="1"/>
  <c r="L39" i="7" s="1"/>
  <c r="N39" i="7" s="1"/>
  <c r="L38" i="7"/>
  <c r="N38" i="7" s="1"/>
  <c r="K38" i="7"/>
  <c r="J38" i="7"/>
  <c r="M38" i="7" s="1"/>
  <c r="O38" i="7" s="1"/>
  <c r="J37" i="7"/>
  <c r="K37" i="7" s="1"/>
  <c r="L37" i="7" s="1"/>
  <c r="N37" i="7" s="1"/>
  <c r="J36" i="7"/>
  <c r="J35" i="7"/>
  <c r="N34" i="7"/>
  <c r="K34" i="7"/>
  <c r="L34" i="7" s="1"/>
  <c r="J34" i="7"/>
  <c r="M34" i="7" s="1"/>
  <c r="J33" i="7"/>
  <c r="J32" i="7"/>
  <c r="M31" i="7"/>
  <c r="J31" i="7"/>
  <c r="K31" i="7" s="1"/>
  <c r="L31" i="7" s="1"/>
  <c r="N31" i="7" s="1"/>
  <c r="L30" i="7"/>
  <c r="N30" i="7" s="1"/>
  <c r="K30" i="7"/>
  <c r="J30" i="7"/>
  <c r="M30" i="7" s="1"/>
  <c r="O30" i="7" s="1"/>
  <c r="L29" i="7"/>
  <c r="N29" i="7" s="1"/>
  <c r="J29" i="7"/>
  <c r="K29" i="7" s="1"/>
  <c r="J28" i="7"/>
  <c r="J27" i="7"/>
  <c r="K26" i="7"/>
  <c r="L26" i="7" s="1"/>
  <c r="N26" i="7" s="1"/>
  <c r="J26" i="7"/>
  <c r="J25" i="7"/>
  <c r="J24" i="7"/>
  <c r="J23" i="7"/>
  <c r="K23" i="7" s="1"/>
  <c r="L23" i="7" s="1"/>
  <c r="N23" i="7" s="1"/>
  <c r="L22" i="7"/>
  <c r="N22" i="7" s="1"/>
  <c r="K22" i="7"/>
  <c r="J22" i="7"/>
  <c r="M22" i="7" s="1"/>
  <c r="J21" i="7"/>
  <c r="K21" i="7" s="1"/>
  <c r="L21" i="7" s="1"/>
  <c r="N21" i="7" s="1"/>
  <c r="J20" i="7"/>
  <c r="J19" i="7"/>
  <c r="N18" i="7"/>
  <c r="K18" i="7"/>
  <c r="L18" i="7" s="1"/>
  <c r="J18" i="7"/>
  <c r="M18" i="7" s="1"/>
  <c r="J17" i="7"/>
  <c r="J16" i="7"/>
  <c r="J15" i="7"/>
  <c r="K15" i="7" s="1"/>
  <c r="L15" i="7" s="1"/>
  <c r="N15" i="7" s="1"/>
  <c r="L14" i="7"/>
  <c r="N14" i="7" s="1"/>
  <c r="K14" i="7"/>
  <c r="J14" i="7"/>
  <c r="M14" i="7" s="1"/>
  <c r="J13" i="7"/>
  <c r="K13" i="7" s="1"/>
  <c r="L13" i="7" s="1"/>
  <c r="N13" i="7" s="1"/>
  <c r="J12" i="7"/>
  <c r="J11" i="7"/>
  <c r="K10" i="7"/>
  <c r="L10" i="7" s="1"/>
  <c r="N10" i="7" s="1"/>
  <c r="J10" i="7"/>
  <c r="J9" i="7"/>
  <c r="J8" i="7"/>
  <c r="J7" i="7"/>
  <c r="K7" i="7" s="1"/>
  <c r="L7" i="7" s="1"/>
  <c r="N7" i="7" s="1"/>
  <c r="L6" i="7"/>
  <c r="N6" i="7" s="1"/>
  <c r="K6" i="7"/>
  <c r="J6" i="7"/>
  <c r="M6" i="7" s="1"/>
  <c r="J5" i="7"/>
  <c r="K5" i="7" s="1"/>
  <c r="L5" i="7" s="1"/>
  <c r="N5" i="7" s="1"/>
  <c r="J4" i="7"/>
  <c r="J3" i="7"/>
  <c r="N2" i="7"/>
  <c r="K2" i="7"/>
  <c r="L2" i="7" s="1"/>
  <c r="J2" i="7"/>
  <c r="M2" i="7" s="1"/>
  <c r="J339" i="5"/>
  <c r="J338" i="5"/>
  <c r="J337" i="5"/>
  <c r="K337" i="5" s="1"/>
  <c r="L337" i="5" s="1"/>
  <c r="J336" i="5"/>
  <c r="J335" i="5"/>
  <c r="J334" i="5"/>
  <c r="J333" i="5"/>
  <c r="J332" i="5"/>
  <c r="J331" i="5"/>
  <c r="J330" i="5"/>
  <c r="J329" i="5"/>
  <c r="K329" i="5" s="1"/>
  <c r="L329" i="5" s="1"/>
  <c r="J328" i="5"/>
  <c r="J327" i="5"/>
  <c r="J326" i="5"/>
  <c r="J325" i="5"/>
  <c r="J324" i="5"/>
  <c r="J323" i="5"/>
  <c r="J322" i="5"/>
  <c r="J321" i="5"/>
  <c r="K321" i="5" s="1"/>
  <c r="L321" i="5" s="1"/>
  <c r="J320" i="5"/>
  <c r="J319" i="5"/>
  <c r="J318" i="5"/>
  <c r="K318" i="5" s="1"/>
  <c r="L318" i="5" s="1"/>
  <c r="N318" i="5" s="1"/>
  <c r="J317" i="5"/>
  <c r="J316" i="5"/>
  <c r="J315" i="5"/>
  <c r="J314" i="5"/>
  <c r="J313" i="5"/>
  <c r="K313" i="5" s="1"/>
  <c r="L313" i="5" s="1"/>
  <c r="N313" i="5" s="1"/>
  <c r="J312" i="5"/>
  <c r="J311" i="5"/>
  <c r="J310" i="5"/>
  <c r="K310" i="5" s="1"/>
  <c r="L310" i="5" s="1"/>
  <c r="N310" i="5" s="1"/>
  <c r="J309" i="5"/>
  <c r="J308" i="5"/>
  <c r="J307" i="5"/>
  <c r="J306" i="5"/>
  <c r="J305" i="5"/>
  <c r="K305" i="5" s="1"/>
  <c r="L305" i="5" s="1"/>
  <c r="J304" i="5"/>
  <c r="J303" i="5"/>
  <c r="J302" i="5"/>
  <c r="J301" i="5"/>
  <c r="J300" i="5"/>
  <c r="J299" i="5"/>
  <c r="J298" i="5"/>
  <c r="J297" i="5"/>
  <c r="K297" i="5" s="1"/>
  <c r="L297" i="5" s="1"/>
  <c r="N297" i="5" s="1"/>
  <c r="J296" i="5"/>
  <c r="J295" i="5"/>
  <c r="J294" i="5"/>
  <c r="J293" i="5"/>
  <c r="J292" i="5"/>
  <c r="J291" i="5"/>
  <c r="J290" i="5"/>
  <c r="J289" i="5"/>
  <c r="K289" i="5" s="1"/>
  <c r="L289" i="5" s="1"/>
  <c r="N289" i="5" s="1"/>
  <c r="J288" i="5"/>
  <c r="J287" i="5"/>
  <c r="J286" i="5"/>
  <c r="K286" i="5" s="1"/>
  <c r="L286" i="5" s="1"/>
  <c r="J285" i="5"/>
  <c r="J284" i="5"/>
  <c r="J283" i="5"/>
  <c r="J282" i="5"/>
  <c r="J281" i="5"/>
  <c r="K281" i="5" s="1"/>
  <c r="L281" i="5" s="1"/>
  <c r="N281" i="5" s="1"/>
  <c r="J280" i="5"/>
  <c r="J279" i="5"/>
  <c r="J278" i="5"/>
  <c r="J277" i="5"/>
  <c r="J276" i="5"/>
  <c r="J275" i="5"/>
  <c r="J274" i="5"/>
  <c r="J273" i="5"/>
  <c r="K273" i="5" s="1"/>
  <c r="L273" i="5" s="1"/>
  <c r="N273" i="5" s="1"/>
  <c r="J272" i="5"/>
  <c r="J271" i="5"/>
  <c r="J270" i="5"/>
  <c r="K270" i="5" s="1"/>
  <c r="L270" i="5" s="1"/>
  <c r="N270" i="5" s="1"/>
  <c r="J269" i="5"/>
  <c r="J268" i="5"/>
  <c r="J267" i="5"/>
  <c r="J266" i="5"/>
  <c r="J265" i="5"/>
  <c r="K265" i="5" s="1"/>
  <c r="L265" i="5" s="1"/>
  <c r="N265" i="5" s="1"/>
  <c r="J264" i="5"/>
  <c r="J263" i="5"/>
  <c r="J262" i="5"/>
  <c r="J261" i="5"/>
  <c r="J260" i="5"/>
  <c r="J259" i="5"/>
  <c r="J258" i="5"/>
  <c r="J257" i="5"/>
  <c r="K257" i="5" s="1"/>
  <c r="L257" i="5" s="1"/>
  <c r="N257" i="5" s="1"/>
  <c r="J256" i="5"/>
  <c r="J255" i="5"/>
  <c r="K255" i="5" s="1"/>
  <c r="L255" i="5" s="1"/>
  <c r="J254" i="5"/>
  <c r="J253" i="5"/>
  <c r="J252" i="5"/>
  <c r="K252" i="5" s="1"/>
  <c r="L252" i="5" s="1"/>
  <c r="N252" i="5" s="1"/>
  <c r="J251" i="5"/>
  <c r="J250" i="5"/>
  <c r="J249" i="5"/>
  <c r="K249" i="5" s="1"/>
  <c r="L249" i="5" s="1"/>
  <c r="N249" i="5" s="1"/>
  <c r="J248" i="5"/>
  <c r="J247" i="5"/>
  <c r="K247" i="5" s="1"/>
  <c r="L247" i="5" s="1"/>
  <c r="J246" i="5"/>
  <c r="K246" i="5" s="1"/>
  <c r="L246" i="5" s="1"/>
  <c r="J245" i="5"/>
  <c r="J244" i="5"/>
  <c r="K244" i="5" s="1"/>
  <c r="J243" i="5"/>
  <c r="J242" i="5"/>
  <c r="J241" i="5"/>
  <c r="K241" i="5" s="1"/>
  <c r="L241" i="5" s="1"/>
  <c r="N241" i="5" s="1"/>
  <c r="J240" i="5"/>
  <c r="J239" i="5"/>
  <c r="K239" i="5" s="1"/>
  <c r="L239" i="5" s="1"/>
  <c r="J238" i="5"/>
  <c r="J237" i="5"/>
  <c r="J236" i="5"/>
  <c r="K236" i="5" s="1"/>
  <c r="J235" i="5"/>
  <c r="J234" i="5"/>
  <c r="J233" i="5"/>
  <c r="K233" i="5" s="1"/>
  <c r="L233" i="5" s="1"/>
  <c r="N233" i="5" s="1"/>
  <c r="J232" i="5"/>
  <c r="J231" i="5"/>
  <c r="J230" i="5"/>
  <c r="K230" i="5" s="1"/>
  <c r="L230" i="5" s="1"/>
  <c r="J229" i="5"/>
  <c r="J228" i="5"/>
  <c r="K228" i="5" s="1"/>
  <c r="L228" i="5" s="1"/>
  <c r="N228" i="5" s="1"/>
  <c r="J227" i="5"/>
  <c r="J226" i="5"/>
  <c r="J225" i="5"/>
  <c r="K225" i="5" s="1"/>
  <c r="L225" i="5" s="1"/>
  <c r="N225" i="5" s="1"/>
  <c r="J224" i="5"/>
  <c r="J223" i="5"/>
  <c r="K223" i="5" s="1"/>
  <c r="L223" i="5" s="1"/>
  <c r="J222" i="5"/>
  <c r="J221" i="5"/>
  <c r="J220" i="5"/>
  <c r="K220" i="5" s="1"/>
  <c r="L220" i="5" s="1"/>
  <c r="N220" i="5" s="1"/>
  <c r="J219" i="5"/>
  <c r="J218" i="5"/>
  <c r="J217" i="5"/>
  <c r="K217" i="5" s="1"/>
  <c r="L217" i="5" s="1"/>
  <c r="N217" i="5" s="1"/>
  <c r="J216" i="5"/>
  <c r="J215" i="5"/>
  <c r="K215" i="5" s="1"/>
  <c r="L215" i="5" s="1"/>
  <c r="K214" i="5"/>
  <c r="L214" i="5" s="1"/>
  <c r="J214" i="5"/>
  <c r="J213" i="5"/>
  <c r="J212" i="5"/>
  <c r="K212" i="5" s="1"/>
  <c r="J211" i="5"/>
  <c r="J210" i="5"/>
  <c r="J209" i="5"/>
  <c r="K209" i="5" s="1"/>
  <c r="L209" i="5" s="1"/>
  <c r="N209" i="5" s="1"/>
  <c r="J208" i="5"/>
  <c r="J207" i="5"/>
  <c r="J206" i="5"/>
  <c r="J205" i="5"/>
  <c r="J204" i="5"/>
  <c r="K204" i="5" s="1"/>
  <c r="J203" i="5"/>
  <c r="J202" i="5"/>
  <c r="J201" i="5"/>
  <c r="K201" i="5" s="1"/>
  <c r="L201" i="5" s="1"/>
  <c r="N201" i="5" s="1"/>
  <c r="J200" i="5"/>
  <c r="J199" i="5"/>
  <c r="K199" i="5" s="1"/>
  <c r="L199" i="5" s="1"/>
  <c r="J198" i="5"/>
  <c r="J197" i="5"/>
  <c r="J196" i="5"/>
  <c r="J195" i="5"/>
  <c r="K195" i="5" s="1"/>
  <c r="L195" i="5" s="1"/>
  <c r="N195" i="5" s="1"/>
  <c r="J194" i="5"/>
  <c r="J193" i="5"/>
  <c r="J192" i="5"/>
  <c r="J191" i="5"/>
  <c r="K191" i="5" s="1"/>
  <c r="L191" i="5" s="1"/>
  <c r="N191" i="5" s="1"/>
  <c r="J190" i="5"/>
  <c r="K190" i="5" s="1"/>
  <c r="L190" i="5" s="1"/>
  <c r="N190" i="5" s="1"/>
  <c r="J189" i="5"/>
  <c r="J188" i="5"/>
  <c r="K188" i="5" s="1"/>
  <c r="L188" i="5" s="1"/>
  <c r="J187" i="5"/>
  <c r="K187" i="5" s="1"/>
  <c r="L187" i="5" s="1"/>
  <c r="J186" i="5"/>
  <c r="J185" i="5"/>
  <c r="K185" i="5" s="1"/>
  <c r="L185" i="5" s="1"/>
  <c r="J184" i="5"/>
  <c r="J183" i="5"/>
  <c r="J182" i="5"/>
  <c r="J181" i="5"/>
  <c r="J180" i="5"/>
  <c r="K180" i="5" s="1"/>
  <c r="L180" i="5" s="1"/>
  <c r="J179" i="5"/>
  <c r="K179" i="5" s="1"/>
  <c r="J178" i="5"/>
  <c r="J177" i="5"/>
  <c r="K177" i="5" s="1"/>
  <c r="L177" i="5" s="1"/>
  <c r="N177" i="5" s="1"/>
  <c r="J176" i="5"/>
  <c r="J175" i="5"/>
  <c r="K175" i="5" s="1"/>
  <c r="L175" i="5" s="1"/>
  <c r="J174" i="5"/>
  <c r="J173" i="5"/>
  <c r="J172" i="5"/>
  <c r="K172" i="5" s="1"/>
  <c r="L172" i="5" s="1"/>
  <c r="N172" i="5" s="1"/>
  <c r="J171" i="5"/>
  <c r="K171" i="5" s="1"/>
  <c r="L171" i="5" s="1"/>
  <c r="N171" i="5" s="1"/>
  <c r="J170" i="5"/>
  <c r="K170" i="5" s="1"/>
  <c r="L170" i="5" s="1"/>
  <c r="J169" i="5"/>
  <c r="J168" i="5"/>
  <c r="J167" i="5"/>
  <c r="J166" i="5"/>
  <c r="K166" i="5" s="1"/>
  <c r="L166" i="5" s="1"/>
  <c r="N166" i="5" s="1"/>
  <c r="J165" i="5"/>
  <c r="J164" i="5"/>
  <c r="K164" i="5" s="1"/>
  <c r="J163" i="5"/>
  <c r="J162" i="5"/>
  <c r="J161" i="5"/>
  <c r="J160" i="5"/>
  <c r="J159" i="5"/>
  <c r="K159" i="5" s="1"/>
  <c r="L159" i="5" s="1"/>
  <c r="N159" i="5" s="1"/>
  <c r="J158" i="5"/>
  <c r="J157" i="5"/>
  <c r="J156" i="5"/>
  <c r="K156" i="5" s="1"/>
  <c r="L156" i="5" s="1"/>
  <c r="N156" i="5" s="1"/>
  <c r="J155" i="5"/>
  <c r="K155" i="5" s="1"/>
  <c r="L155" i="5" s="1"/>
  <c r="N155" i="5" s="1"/>
  <c r="J154" i="5"/>
  <c r="J153" i="5"/>
  <c r="K153" i="5" s="1"/>
  <c r="L153" i="5" s="1"/>
  <c r="N153" i="5" s="1"/>
  <c r="J152" i="5"/>
  <c r="J151" i="5"/>
  <c r="K151" i="5" s="1"/>
  <c r="L151" i="5" s="1"/>
  <c r="N151" i="5" s="1"/>
  <c r="J150" i="5"/>
  <c r="J149" i="5"/>
  <c r="J148" i="5"/>
  <c r="K148" i="5" s="1"/>
  <c r="L148" i="5" s="1"/>
  <c r="J147" i="5"/>
  <c r="K147" i="5" s="1"/>
  <c r="J146" i="5"/>
  <c r="K146" i="5" s="1"/>
  <c r="L146" i="5" s="1"/>
  <c r="J145" i="5"/>
  <c r="K145" i="5" s="1"/>
  <c r="L145" i="5" s="1"/>
  <c r="N145" i="5" s="1"/>
  <c r="J144" i="5"/>
  <c r="J143" i="5"/>
  <c r="K143" i="5" s="1"/>
  <c r="J142" i="5"/>
  <c r="J141" i="5"/>
  <c r="J140" i="5"/>
  <c r="J139" i="5"/>
  <c r="J138" i="5"/>
  <c r="J137" i="5"/>
  <c r="K137" i="5" s="1"/>
  <c r="L137" i="5" s="1"/>
  <c r="N137" i="5" s="1"/>
  <c r="J136" i="5"/>
  <c r="J135" i="5"/>
  <c r="K135" i="5" s="1"/>
  <c r="L135" i="5" s="1"/>
  <c r="J134" i="5"/>
  <c r="K134" i="5" s="1"/>
  <c r="L134" i="5" s="1"/>
  <c r="N134" i="5" s="1"/>
  <c r="J133" i="5"/>
  <c r="J132" i="5"/>
  <c r="K132" i="5" s="1"/>
  <c r="L132" i="5" s="1"/>
  <c r="N132" i="5" s="1"/>
  <c r="J131" i="5"/>
  <c r="J130" i="5"/>
  <c r="J129" i="5"/>
  <c r="J128" i="5"/>
  <c r="J127" i="5"/>
  <c r="K127" i="5" s="1"/>
  <c r="L127" i="5" s="1"/>
  <c r="M127" i="5" s="1"/>
  <c r="J126" i="5"/>
  <c r="K126" i="5" s="1"/>
  <c r="L126" i="5" s="1"/>
  <c r="N126" i="5" s="1"/>
  <c r="J125" i="5"/>
  <c r="J124" i="5"/>
  <c r="K124" i="5" s="1"/>
  <c r="L124" i="5" s="1"/>
  <c r="N124" i="5" s="1"/>
  <c r="J123" i="5"/>
  <c r="K123" i="5" s="1"/>
  <c r="L123" i="5" s="1"/>
  <c r="J122" i="5"/>
  <c r="J121" i="5"/>
  <c r="K121" i="5" s="1"/>
  <c r="L121" i="5" s="1"/>
  <c r="N121" i="5" s="1"/>
  <c r="J120" i="5"/>
  <c r="J119" i="5"/>
  <c r="J118" i="5"/>
  <c r="J117" i="5"/>
  <c r="J116" i="5"/>
  <c r="K116" i="5" s="1"/>
  <c r="L116" i="5" s="1"/>
  <c r="J115" i="5"/>
  <c r="K115" i="5" s="1"/>
  <c r="L115" i="5" s="1"/>
  <c r="N115" i="5" s="1"/>
  <c r="J114" i="5"/>
  <c r="K114" i="5" s="1"/>
  <c r="L114" i="5" s="1"/>
  <c r="J113" i="5"/>
  <c r="K113" i="5" s="1"/>
  <c r="L113" i="5" s="1"/>
  <c r="N113" i="5" s="1"/>
  <c r="J112" i="5"/>
  <c r="K112" i="5" s="1"/>
  <c r="L112" i="5" s="1"/>
  <c r="N112" i="5" s="1"/>
  <c r="J111" i="5"/>
  <c r="J110" i="5"/>
  <c r="K110" i="5" s="1"/>
  <c r="L110" i="5" s="1"/>
  <c r="J109" i="5"/>
  <c r="K109" i="5" s="1"/>
  <c r="L109" i="5" s="1"/>
  <c r="J108" i="5"/>
  <c r="K108" i="5" s="1"/>
  <c r="J107" i="5"/>
  <c r="J106" i="5"/>
  <c r="K106" i="5" s="1"/>
  <c r="L106" i="5" s="1"/>
  <c r="J105" i="5"/>
  <c r="K105" i="5" s="1"/>
  <c r="L105" i="5" s="1"/>
  <c r="N105" i="5" s="1"/>
  <c r="J104" i="5"/>
  <c r="K104" i="5" s="1"/>
  <c r="L104" i="5" s="1"/>
  <c r="N104" i="5" s="1"/>
  <c r="J103" i="5"/>
  <c r="J102" i="5"/>
  <c r="K102" i="5" s="1"/>
  <c r="L102" i="5" s="1"/>
  <c r="J101" i="5"/>
  <c r="K101" i="5" s="1"/>
  <c r="L101" i="5" s="1"/>
  <c r="N101" i="5" s="1"/>
  <c r="J100" i="5"/>
  <c r="K100" i="5" s="1"/>
  <c r="L100" i="5" s="1"/>
  <c r="N100" i="5" s="1"/>
  <c r="J99" i="5"/>
  <c r="J98" i="5"/>
  <c r="K98" i="5" s="1"/>
  <c r="L98" i="5" s="1"/>
  <c r="J97" i="5"/>
  <c r="K97" i="5" s="1"/>
  <c r="L97" i="5" s="1"/>
  <c r="J96" i="5"/>
  <c r="K96" i="5" s="1"/>
  <c r="L96" i="5" s="1"/>
  <c r="J95" i="5"/>
  <c r="J94" i="5"/>
  <c r="K94" i="5" s="1"/>
  <c r="L94" i="5" s="1"/>
  <c r="J93" i="5"/>
  <c r="J92" i="5"/>
  <c r="K92" i="5" s="1"/>
  <c r="J91" i="5"/>
  <c r="J90" i="5"/>
  <c r="J89" i="5"/>
  <c r="K89" i="5" s="1"/>
  <c r="L89" i="5" s="1"/>
  <c r="N89" i="5" s="1"/>
  <c r="J88" i="5"/>
  <c r="K88" i="5" s="1"/>
  <c r="J87" i="5"/>
  <c r="J86" i="5"/>
  <c r="J85" i="5"/>
  <c r="K85" i="5" s="1"/>
  <c r="L85" i="5" s="1"/>
  <c r="N85" i="5" s="1"/>
  <c r="J84" i="5"/>
  <c r="K84" i="5" s="1"/>
  <c r="J83" i="5"/>
  <c r="K83" i="5" s="1"/>
  <c r="L83" i="5" s="1"/>
  <c r="N83" i="5" s="1"/>
  <c r="J82" i="5"/>
  <c r="K82" i="5" s="1"/>
  <c r="L82" i="5" s="1"/>
  <c r="J81" i="5"/>
  <c r="K81" i="5" s="1"/>
  <c r="L81" i="5" s="1"/>
  <c r="N81" i="5" s="1"/>
  <c r="J80" i="5"/>
  <c r="K80" i="5" s="1"/>
  <c r="J79" i="5"/>
  <c r="J78" i="5"/>
  <c r="K78" i="5" s="1"/>
  <c r="L78" i="5" s="1"/>
  <c r="J77" i="5"/>
  <c r="K77" i="5" s="1"/>
  <c r="L77" i="5" s="1"/>
  <c r="M77" i="5" s="1"/>
  <c r="J76" i="5"/>
  <c r="K76" i="5" s="1"/>
  <c r="J75" i="5"/>
  <c r="J74" i="5"/>
  <c r="K74" i="5" s="1"/>
  <c r="L74" i="5" s="1"/>
  <c r="J73" i="5"/>
  <c r="K73" i="5" s="1"/>
  <c r="L73" i="5" s="1"/>
  <c r="J72" i="5"/>
  <c r="K72" i="5" s="1"/>
  <c r="L72" i="5" s="1"/>
  <c r="N72" i="5" s="1"/>
  <c r="J71" i="5"/>
  <c r="J70" i="5"/>
  <c r="K70" i="5" s="1"/>
  <c r="L70" i="5" s="1"/>
  <c r="J69" i="5"/>
  <c r="J68" i="5"/>
  <c r="K68" i="5" s="1"/>
  <c r="J67" i="5"/>
  <c r="J66" i="5"/>
  <c r="J65" i="5"/>
  <c r="K65" i="5" s="1"/>
  <c r="L65" i="5" s="1"/>
  <c r="J64" i="5"/>
  <c r="K64" i="5" s="1"/>
  <c r="L64" i="5" s="1"/>
  <c r="J63" i="5"/>
  <c r="J62" i="5"/>
  <c r="J61" i="5"/>
  <c r="J60" i="5"/>
  <c r="K60" i="5" s="1"/>
  <c r="J59" i="5"/>
  <c r="K59" i="5" s="1"/>
  <c r="L59" i="5" s="1"/>
  <c r="N59" i="5" s="1"/>
  <c r="J58" i="5"/>
  <c r="K58" i="5" s="1"/>
  <c r="L58" i="5" s="1"/>
  <c r="J57" i="5"/>
  <c r="K57" i="5" s="1"/>
  <c r="L57" i="5" s="1"/>
  <c r="K56" i="5"/>
  <c r="J56" i="5"/>
  <c r="J55" i="5"/>
  <c r="J54" i="5"/>
  <c r="K54" i="5" s="1"/>
  <c r="L54" i="5" s="1"/>
  <c r="J53" i="5"/>
  <c r="K53" i="5" s="1"/>
  <c r="L53" i="5" s="1"/>
  <c r="N53" i="5" s="1"/>
  <c r="J52" i="5"/>
  <c r="K52" i="5" s="1"/>
  <c r="J51" i="5"/>
  <c r="J50" i="5"/>
  <c r="K50" i="5" s="1"/>
  <c r="L50" i="5" s="1"/>
  <c r="J49" i="5"/>
  <c r="K49" i="5" s="1"/>
  <c r="L49" i="5" s="1"/>
  <c r="N49" i="5" s="1"/>
  <c r="J48" i="5"/>
  <c r="K48" i="5" s="1"/>
  <c r="L48" i="5" s="1"/>
  <c r="N48" i="5" s="1"/>
  <c r="J47" i="5"/>
  <c r="J46" i="5"/>
  <c r="K46" i="5" s="1"/>
  <c r="L46" i="5" s="1"/>
  <c r="J45" i="5"/>
  <c r="J44" i="5"/>
  <c r="K44" i="5" s="1"/>
  <c r="J43" i="5"/>
  <c r="J42" i="5"/>
  <c r="J41" i="5"/>
  <c r="K41" i="5" s="1"/>
  <c r="L41" i="5" s="1"/>
  <c r="J40" i="5"/>
  <c r="K40" i="5" s="1"/>
  <c r="L40" i="5" s="1"/>
  <c r="N40" i="5" s="1"/>
  <c r="J39" i="5"/>
  <c r="J38" i="5"/>
  <c r="K38" i="5" s="1"/>
  <c r="L38" i="5" s="1"/>
  <c r="J37" i="5"/>
  <c r="J36" i="5"/>
  <c r="K36" i="5" s="1"/>
  <c r="J35" i="5"/>
  <c r="J34" i="5"/>
  <c r="K34" i="5" s="1"/>
  <c r="L34" i="5" s="1"/>
  <c r="J33" i="5"/>
  <c r="K33" i="5" s="1"/>
  <c r="L33" i="5" s="1"/>
  <c r="J32" i="5"/>
  <c r="K32" i="5" s="1"/>
  <c r="J31" i="5"/>
  <c r="J30" i="5"/>
  <c r="K30" i="5" s="1"/>
  <c r="L30" i="5" s="1"/>
  <c r="J29" i="5"/>
  <c r="K29" i="5" s="1"/>
  <c r="L29" i="5" s="1"/>
  <c r="N29" i="5" s="1"/>
  <c r="J28" i="5"/>
  <c r="K28" i="5" s="1"/>
  <c r="L28" i="5" s="1"/>
  <c r="N28" i="5" s="1"/>
  <c r="J27" i="5"/>
  <c r="J26" i="5"/>
  <c r="K26" i="5" s="1"/>
  <c r="L26" i="5" s="1"/>
  <c r="J25" i="5"/>
  <c r="K25" i="5" s="1"/>
  <c r="L25" i="5" s="1"/>
  <c r="J24" i="5"/>
  <c r="K24" i="5" s="1"/>
  <c r="L24" i="5" s="1"/>
  <c r="J23" i="5"/>
  <c r="J22" i="5"/>
  <c r="J21" i="5"/>
  <c r="K21" i="5" s="1"/>
  <c r="L21" i="5" s="1"/>
  <c r="N21" i="5" s="1"/>
  <c r="J20" i="5"/>
  <c r="K20" i="5" s="1"/>
  <c r="J19" i="5"/>
  <c r="K19" i="5" s="1"/>
  <c r="L19" i="5" s="1"/>
  <c r="N19" i="5" s="1"/>
  <c r="J18" i="5"/>
  <c r="K18" i="5" s="1"/>
  <c r="L18" i="5" s="1"/>
  <c r="J17" i="5"/>
  <c r="K17" i="5" s="1"/>
  <c r="L17" i="5" s="1"/>
  <c r="N17" i="5" s="1"/>
  <c r="J16" i="5"/>
  <c r="K16" i="5" s="1"/>
  <c r="J15" i="5"/>
  <c r="J14" i="5"/>
  <c r="K14" i="5" s="1"/>
  <c r="L14" i="5" s="1"/>
  <c r="J13" i="5"/>
  <c r="J12" i="5"/>
  <c r="K12" i="5" s="1"/>
  <c r="J11" i="5"/>
  <c r="J10" i="5"/>
  <c r="J9" i="5"/>
  <c r="K9" i="5" s="1"/>
  <c r="L9" i="5" s="1"/>
  <c r="J8" i="5"/>
  <c r="K8" i="5" s="1"/>
  <c r="L8" i="5" s="1"/>
  <c r="N8" i="5" s="1"/>
  <c r="J7" i="5"/>
  <c r="J6" i="5"/>
  <c r="K6" i="5" s="1"/>
  <c r="L6" i="5" s="1"/>
  <c r="J5" i="5"/>
  <c r="J4" i="5"/>
  <c r="K4" i="5" s="1"/>
  <c r="J3" i="5"/>
  <c r="J2" i="5"/>
  <c r="K339" i="3"/>
  <c r="J339" i="3"/>
  <c r="J338" i="3"/>
  <c r="K338" i="3" s="1"/>
  <c r="J337" i="3"/>
  <c r="K337" i="3" s="1"/>
  <c r="L337" i="3" s="1"/>
  <c r="J336" i="3"/>
  <c r="K336" i="3" s="1"/>
  <c r="J335" i="3"/>
  <c r="J334" i="3"/>
  <c r="K334" i="3" s="1"/>
  <c r="L334" i="3" s="1"/>
  <c r="N334" i="3" s="1"/>
  <c r="J333" i="3"/>
  <c r="J332" i="3"/>
  <c r="J331" i="3"/>
  <c r="K331" i="3" s="1"/>
  <c r="L331" i="3" s="1"/>
  <c r="J330" i="3"/>
  <c r="J329" i="3"/>
  <c r="K329" i="3" s="1"/>
  <c r="L329" i="3" s="1"/>
  <c r="J328" i="3"/>
  <c r="K328" i="3" s="1"/>
  <c r="J327" i="3"/>
  <c r="J326" i="3"/>
  <c r="K326" i="3" s="1"/>
  <c r="L326" i="3" s="1"/>
  <c r="N326" i="3" s="1"/>
  <c r="J325" i="3"/>
  <c r="J324" i="3"/>
  <c r="J323" i="3"/>
  <c r="K323" i="3" s="1"/>
  <c r="L323" i="3" s="1"/>
  <c r="J322" i="3"/>
  <c r="J321" i="3"/>
  <c r="K321" i="3" s="1"/>
  <c r="L321" i="3" s="1"/>
  <c r="J320" i="3"/>
  <c r="K320" i="3" s="1"/>
  <c r="J319" i="3"/>
  <c r="J318" i="3"/>
  <c r="K318" i="3" s="1"/>
  <c r="L318" i="3" s="1"/>
  <c r="N318" i="3" s="1"/>
  <c r="J317" i="3"/>
  <c r="J316" i="3"/>
  <c r="J315" i="3"/>
  <c r="K315" i="3" s="1"/>
  <c r="L315" i="3" s="1"/>
  <c r="K314" i="3"/>
  <c r="L314" i="3" s="1"/>
  <c r="J314" i="3"/>
  <c r="J313" i="3"/>
  <c r="K313" i="3" s="1"/>
  <c r="L313" i="3" s="1"/>
  <c r="J312" i="3"/>
  <c r="K312" i="3" s="1"/>
  <c r="J311" i="3"/>
  <c r="J310" i="3"/>
  <c r="K310" i="3" s="1"/>
  <c r="L310" i="3" s="1"/>
  <c r="N310" i="3" s="1"/>
  <c r="J309" i="3"/>
  <c r="J308" i="3"/>
  <c r="J307" i="3"/>
  <c r="K307" i="3" s="1"/>
  <c r="L307" i="3" s="1"/>
  <c r="J306" i="3"/>
  <c r="J305" i="3"/>
  <c r="K305" i="3" s="1"/>
  <c r="L305" i="3" s="1"/>
  <c r="J304" i="3"/>
  <c r="K304" i="3" s="1"/>
  <c r="J303" i="3"/>
  <c r="J302" i="3"/>
  <c r="K302" i="3" s="1"/>
  <c r="L302" i="3" s="1"/>
  <c r="N302" i="3" s="1"/>
  <c r="J301" i="3"/>
  <c r="J300" i="3"/>
  <c r="J299" i="3"/>
  <c r="K299" i="3" s="1"/>
  <c r="L299" i="3" s="1"/>
  <c r="J298" i="3"/>
  <c r="J297" i="3"/>
  <c r="K297" i="3" s="1"/>
  <c r="L297" i="3" s="1"/>
  <c r="J296" i="3"/>
  <c r="K296" i="3" s="1"/>
  <c r="J295" i="3"/>
  <c r="J294" i="3"/>
  <c r="K294" i="3" s="1"/>
  <c r="L294" i="3" s="1"/>
  <c r="N294" i="3" s="1"/>
  <c r="J293" i="3"/>
  <c r="J292" i="3"/>
  <c r="J291" i="3"/>
  <c r="K291" i="3" s="1"/>
  <c r="L291" i="3" s="1"/>
  <c r="J290" i="3"/>
  <c r="J289" i="3"/>
  <c r="K289" i="3" s="1"/>
  <c r="L289" i="3" s="1"/>
  <c r="J288" i="3"/>
  <c r="K288" i="3" s="1"/>
  <c r="J287" i="3"/>
  <c r="J286" i="3"/>
  <c r="K286" i="3" s="1"/>
  <c r="L286" i="3" s="1"/>
  <c r="N286" i="3" s="1"/>
  <c r="J285" i="3"/>
  <c r="J284" i="3"/>
  <c r="J283" i="3"/>
  <c r="K283" i="3" s="1"/>
  <c r="L283" i="3" s="1"/>
  <c r="K282" i="3"/>
  <c r="J282" i="3"/>
  <c r="J281" i="3"/>
  <c r="K281" i="3" s="1"/>
  <c r="L281" i="3" s="1"/>
  <c r="J280" i="3"/>
  <c r="K280" i="3" s="1"/>
  <c r="J279" i="3"/>
  <c r="J278" i="3"/>
  <c r="K278" i="3" s="1"/>
  <c r="L278" i="3" s="1"/>
  <c r="N278" i="3" s="1"/>
  <c r="J277" i="3"/>
  <c r="J276" i="3"/>
  <c r="J275" i="3"/>
  <c r="K275" i="3" s="1"/>
  <c r="L275" i="3" s="1"/>
  <c r="J274" i="3"/>
  <c r="J273" i="3"/>
  <c r="K273" i="3" s="1"/>
  <c r="L273" i="3" s="1"/>
  <c r="J272" i="3"/>
  <c r="K272" i="3" s="1"/>
  <c r="J271" i="3"/>
  <c r="J270" i="3"/>
  <c r="K270" i="3" s="1"/>
  <c r="L270" i="3" s="1"/>
  <c r="N270" i="3" s="1"/>
  <c r="J269" i="3"/>
  <c r="J268" i="3"/>
  <c r="J267" i="3"/>
  <c r="K267" i="3" s="1"/>
  <c r="L267" i="3" s="1"/>
  <c r="J266" i="3"/>
  <c r="J265" i="3"/>
  <c r="K265" i="3" s="1"/>
  <c r="L265" i="3" s="1"/>
  <c r="J264" i="3"/>
  <c r="K264" i="3" s="1"/>
  <c r="J263" i="3"/>
  <c r="J262" i="3"/>
  <c r="K262" i="3" s="1"/>
  <c r="L262" i="3" s="1"/>
  <c r="N262" i="3" s="1"/>
  <c r="J261" i="3"/>
  <c r="J260" i="3"/>
  <c r="J259" i="3"/>
  <c r="K259" i="3" s="1"/>
  <c r="L259" i="3" s="1"/>
  <c r="J258" i="3"/>
  <c r="J257" i="3"/>
  <c r="K257" i="3" s="1"/>
  <c r="L257" i="3" s="1"/>
  <c r="J256" i="3"/>
  <c r="K256" i="3" s="1"/>
  <c r="L256" i="3" s="1"/>
  <c r="J255" i="3"/>
  <c r="K254" i="3"/>
  <c r="L254" i="3" s="1"/>
  <c r="J254" i="3"/>
  <c r="J253" i="3"/>
  <c r="J252" i="3"/>
  <c r="J251" i="3"/>
  <c r="K251" i="3" s="1"/>
  <c r="L251" i="3" s="1"/>
  <c r="K250" i="3"/>
  <c r="J250" i="3"/>
  <c r="J249" i="3"/>
  <c r="K249" i="3" s="1"/>
  <c r="L249" i="3" s="1"/>
  <c r="N249" i="3" s="1"/>
  <c r="K248" i="3"/>
  <c r="L248" i="3" s="1"/>
  <c r="J248" i="3"/>
  <c r="J247" i="3"/>
  <c r="K246" i="3"/>
  <c r="L246" i="3" s="1"/>
  <c r="J246" i="3"/>
  <c r="J245" i="3"/>
  <c r="J244" i="3"/>
  <c r="J243" i="3"/>
  <c r="K243" i="3" s="1"/>
  <c r="L243" i="3" s="1"/>
  <c r="K242" i="3"/>
  <c r="J242" i="3"/>
  <c r="L241" i="3"/>
  <c r="J241" i="3"/>
  <c r="K241" i="3" s="1"/>
  <c r="J240" i="3"/>
  <c r="K240" i="3" s="1"/>
  <c r="L240" i="3" s="1"/>
  <c r="J239" i="3"/>
  <c r="J238" i="3"/>
  <c r="K238" i="3" s="1"/>
  <c r="L238" i="3" s="1"/>
  <c r="N238" i="3" s="1"/>
  <c r="J237" i="3"/>
  <c r="J236" i="3"/>
  <c r="J235" i="3"/>
  <c r="K235" i="3" s="1"/>
  <c r="L235" i="3" s="1"/>
  <c r="N235" i="3" s="1"/>
  <c r="J234" i="3"/>
  <c r="K234" i="3" s="1"/>
  <c r="J233" i="3"/>
  <c r="K233" i="3" s="1"/>
  <c r="L233" i="3" s="1"/>
  <c r="N233" i="3" s="1"/>
  <c r="J232" i="3"/>
  <c r="K232" i="3" s="1"/>
  <c r="L232" i="3" s="1"/>
  <c r="J231" i="3"/>
  <c r="J230" i="3"/>
  <c r="J229" i="3"/>
  <c r="J228" i="3"/>
  <c r="J227" i="3"/>
  <c r="K227" i="3" s="1"/>
  <c r="L227" i="3" s="1"/>
  <c r="N227" i="3" s="1"/>
  <c r="K226" i="3"/>
  <c r="J226" i="3"/>
  <c r="J225" i="3"/>
  <c r="K225" i="3" s="1"/>
  <c r="L225" i="3" s="1"/>
  <c r="J224" i="3"/>
  <c r="K224" i="3" s="1"/>
  <c r="L224" i="3" s="1"/>
  <c r="N224" i="3" s="1"/>
  <c r="J223" i="3"/>
  <c r="K222" i="3"/>
  <c r="L222" i="3" s="1"/>
  <c r="J222" i="3"/>
  <c r="J221" i="3"/>
  <c r="J220" i="3"/>
  <c r="K219" i="3"/>
  <c r="L219" i="3" s="1"/>
  <c r="J219" i="3"/>
  <c r="J218" i="3"/>
  <c r="K218" i="3" s="1"/>
  <c r="L217" i="3"/>
  <c r="J217" i="3"/>
  <c r="K217" i="3" s="1"/>
  <c r="J216" i="3"/>
  <c r="K216" i="3" s="1"/>
  <c r="L216" i="3" s="1"/>
  <c r="N216" i="3" s="1"/>
  <c r="J215" i="3"/>
  <c r="J214" i="3"/>
  <c r="K214" i="3" s="1"/>
  <c r="L214" i="3" s="1"/>
  <c r="N214" i="3" s="1"/>
  <c r="J213" i="3"/>
  <c r="J212" i="3"/>
  <c r="K211" i="3"/>
  <c r="L211" i="3" s="1"/>
  <c r="J211" i="3"/>
  <c r="J210" i="3"/>
  <c r="K210" i="3" s="1"/>
  <c r="J209" i="3"/>
  <c r="K209" i="3" s="1"/>
  <c r="L209" i="3" s="1"/>
  <c r="J208" i="3"/>
  <c r="K208" i="3" s="1"/>
  <c r="L208" i="3" s="1"/>
  <c r="N208" i="3" s="1"/>
  <c r="J207" i="3"/>
  <c r="J206" i="3"/>
  <c r="K206" i="3" s="1"/>
  <c r="L206" i="3" s="1"/>
  <c r="N206" i="3" s="1"/>
  <c r="J205" i="3"/>
  <c r="J204" i="3"/>
  <c r="K203" i="3"/>
  <c r="L203" i="3" s="1"/>
  <c r="J203" i="3"/>
  <c r="J202" i="3"/>
  <c r="K202" i="3" s="1"/>
  <c r="L202" i="3" s="1"/>
  <c r="J201" i="3"/>
  <c r="K201" i="3" s="1"/>
  <c r="L201" i="3" s="1"/>
  <c r="N201" i="3" s="1"/>
  <c r="J200" i="3"/>
  <c r="K200" i="3" s="1"/>
  <c r="L200" i="3" s="1"/>
  <c r="N200" i="3" s="1"/>
  <c r="J199" i="3"/>
  <c r="K199" i="3" s="1"/>
  <c r="L199" i="3" s="1"/>
  <c r="J198" i="3"/>
  <c r="J197" i="3"/>
  <c r="J196" i="3"/>
  <c r="J195" i="3"/>
  <c r="K195" i="3" s="1"/>
  <c r="L195" i="3" s="1"/>
  <c r="N195" i="3" s="1"/>
  <c r="K194" i="3"/>
  <c r="J194" i="3"/>
  <c r="J193" i="3"/>
  <c r="K193" i="3" s="1"/>
  <c r="L193" i="3" s="1"/>
  <c r="K192" i="3"/>
  <c r="L192" i="3" s="1"/>
  <c r="N192" i="3" s="1"/>
  <c r="J192" i="3"/>
  <c r="J191" i="3"/>
  <c r="K191" i="3" s="1"/>
  <c r="L191" i="3" s="1"/>
  <c r="K190" i="3"/>
  <c r="L190" i="3" s="1"/>
  <c r="J190" i="3"/>
  <c r="J189" i="3"/>
  <c r="J188" i="3"/>
  <c r="K187" i="3"/>
  <c r="L187" i="3" s="1"/>
  <c r="J187" i="3"/>
  <c r="J186" i="3"/>
  <c r="K186" i="3" s="1"/>
  <c r="L186" i="3" s="1"/>
  <c r="J185" i="3"/>
  <c r="K185" i="3" s="1"/>
  <c r="L185" i="3" s="1"/>
  <c r="N185" i="3" s="1"/>
  <c r="J184" i="3"/>
  <c r="K184" i="3" s="1"/>
  <c r="J183" i="3"/>
  <c r="K183" i="3" s="1"/>
  <c r="L183" i="3" s="1"/>
  <c r="K182" i="3"/>
  <c r="L182" i="3" s="1"/>
  <c r="J182" i="3"/>
  <c r="J181" i="3"/>
  <c r="J180" i="3"/>
  <c r="K179" i="3"/>
  <c r="L179" i="3" s="1"/>
  <c r="J179" i="3"/>
  <c r="K178" i="3"/>
  <c r="L178" i="3" s="1"/>
  <c r="J178" i="3"/>
  <c r="J177" i="3"/>
  <c r="K177" i="3" s="1"/>
  <c r="L177" i="3" s="1"/>
  <c r="K176" i="3"/>
  <c r="L176" i="3" s="1"/>
  <c r="J176" i="3"/>
  <c r="J175" i="3"/>
  <c r="K175" i="3" s="1"/>
  <c r="L175" i="3" s="1"/>
  <c r="J174" i="3"/>
  <c r="K174" i="3" s="1"/>
  <c r="L174" i="3" s="1"/>
  <c r="N174" i="3" s="1"/>
  <c r="J173" i="3"/>
  <c r="J172" i="3"/>
  <c r="J171" i="3"/>
  <c r="K171" i="3" s="1"/>
  <c r="L171" i="3" s="1"/>
  <c r="N171" i="3" s="1"/>
  <c r="J170" i="3"/>
  <c r="K170" i="3" s="1"/>
  <c r="J169" i="3"/>
  <c r="J168" i="3"/>
  <c r="K168" i="3" s="1"/>
  <c r="L168" i="3" s="1"/>
  <c r="N168" i="3" s="1"/>
  <c r="N167" i="3"/>
  <c r="J167" i="3"/>
  <c r="K167" i="3" s="1"/>
  <c r="L167" i="3" s="1"/>
  <c r="K166" i="3"/>
  <c r="L166" i="3" s="1"/>
  <c r="N166" i="3" s="1"/>
  <c r="J166" i="3"/>
  <c r="J165" i="3"/>
  <c r="J164" i="3"/>
  <c r="K163" i="3"/>
  <c r="L163" i="3" s="1"/>
  <c r="J163" i="3"/>
  <c r="J162" i="3"/>
  <c r="K162" i="3" s="1"/>
  <c r="L162" i="3" s="1"/>
  <c r="J161" i="3"/>
  <c r="J160" i="3"/>
  <c r="K160" i="3" s="1"/>
  <c r="L160" i="3" s="1"/>
  <c r="N160" i="3" s="1"/>
  <c r="J159" i="3"/>
  <c r="K159" i="3" s="1"/>
  <c r="L159" i="3" s="1"/>
  <c r="K158" i="3"/>
  <c r="L158" i="3" s="1"/>
  <c r="N158" i="3" s="1"/>
  <c r="J158" i="3"/>
  <c r="J157" i="3"/>
  <c r="J156" i="3"/>
  <c r="K155" i="3"/>
  <c r="J155" i="3"/>
  <c r="J154" i="3"/>
  <c r="K154" i="3" s="1"/>
  <c r="L154" i="3" s="1"/>
  <c r="J153" i="3"/>
  <c r="J152" i="3"/>
  <c r="K152" i="3" s="1"/>
  <c r="L152" i="3" s="1"/>
  <c r="N152" i="3" s="1"/>
  <c r="J151" i="3"/>
  <c r="K151" i="3" s="1"/>
  <c r="L151" i="3" s="1"/>
  <c r="J150" i="3"/>
  <c r="K150" i="3" s="1"/>
  <c r="L150" i="3" s="1"/>
  <c r="N150" i="3" s="1"/>
  <c r="J149" i="3"/>
  <c r="J148" i="3"/>
  <c r="K147" i="3"/>
  <c r="J147" i="3"/>
  <c r="K146" i="3"/>
  <c r="J146" i="3"/>
  <c r="J145" i="3"/>
  <c r="K144" i="3"/>
  <c r="L144" i="3" s="1"/>
  <c r="J144" i="3"/>
  <c r="J143" i="3"/>
  <c r="K143" i="3" s="1"/>
  <c r="L143" i="3" s="1"/>
  <c r="J142" i="3"/>
  <c r="J141" i="3"/>
  <c r="J140" i="3"/>
  <c r="K139" i="3"/>
  <c r="L139" i="3" s="1"/>
  <c r="M139" i="3" s="1"/>
  <c r="J139" i="3"/>
  <c r="K138" i="3"/>
  <c r="J138" i="3"/>
  <c r="J137" i="3"/>
  <c r="K136" i="3"/>
  <c r="L136" i="3" s="1"/>
  <c r="J136" i="3"/>
  <c r="J135" i="3"/>
  <c r="J134" i="3"/>
  <c r="K133" i="3"/>
  <c r="L133" i="3" s="1"/>
  <c r="J133" i="3"/>
  <c r="J132" i="3"/>
  <c r="K131" i="3"/>
  <c r="J131" i="3"/>
  <c r="J130" i="3"/>
  <c r="J129" i="3"/>
  <c r="J128" i="3"/>
  <c r="K128" i="3" s="1"/>
  <c r="L128" i="3" s="1"/>
  <c r="J127" i="3"/>
  <c r="J126" i="3"/>
  <c r="K126" i="3" s="1"/>
  <c r="L126" i="3" s="1"/>
  <c r="J125" i="3"/>
  <c r="K125" i="3" s="1"/>
  <c r="L125" i="3" s="1"/>
  <c r="J124" i="3"/>
  <c r="K123" i="3"/>
  <c r="J123" i="3"/>
  <c r="K122" i="3"/>
  <c r="J122" i="3"/>
  <c r="J121" i="3"/>
  <c r="J120" i="3"/>
  <c r="K120" i="3" s="1"/>
  <c r="L120" i="3" s="1"/>
  <c r="J119" i="3"/>
  <c r="J118" i="3"/>
  <c r="K118" i="3" s="1"/>
  <c r="L118" i="3" s="1"/>
  <c r="N118" i="3" s="1"/>
  <c r="J117" i="3"/>
  <c r="K117" i="3" s="1"/>
  <c r="L117" i="3" s="1"/>
  <c r="J116" i="3"/>
  <c r="K115" i="3"/>
  <c r="L115" i="3" s="1"/>
  <c r="N115" i="3" s="1"/>
  <c r="J115" i="3"/>
  <c r="J114" i="3"/>
  <c r="K114" i="3" s="1"/>
  <c r="L114" i="3" s="1"/>
  <c r="K113" i="3"/>
  <c r="L113" i="3" s="1"/>
  <c r="N113" i="3" s="1"/>
  <c r="J113" i="3"/>
  <c r="J112" i="3"/>
  <c r="J111" i="3"/>
  <c r="J110" i="3"/>
  <c r="K109" i="3"/>
  <c r="J109" i="3"/>
  <c r="K108" i="3"/>
  <c r="J108" i="3"/>
  <c r="J107" i="3"/>
  <c r="J106" i="3"/>
  <c r="K106" i="3" s="1"/>
  <c r="L106" i="3" s="1"/>
  <c r="M106" i="3" s="1"/>
  <c r="J105" i="3"/>
  <c r="K105" i="3" s="1"/>
  <c r="J104" i="3"/>
  <c r="J103" i="3"/>
  <c r="J102" i="3"/>
  <c r="K101" i="3"/>
  <c r="J101" i="3"/>
  <c r="K100" i="3"/>
  <c r="J100" i="3"/>
  <c r="J99" i="3"/>
  <c r="J98" i="3"/>
  <c r="K98" i="3" s="1"/>
  <c r="L98" i="3" s="1"/>
  <c r="M98" i="3" s="1"/>
  <c r="J97" i="3"/>
  <c r="K97" i="3" s="1"/>
  <c r="J96" i="3"/>
  <c r="J95" i="3"/>
  <c r="J94" i="3"/>
  <c r="K93" i="3"/>
  <c r="J93" i="3"/>
  <c r="K92" i="3"/>
  <c r="J92" i="3"/>
  <c r="J91" i="3"/>
  <c r="J90" i="3"/>
  <c r="K90" i="3" s="1"/>
  <c r="L90" i="3" s="1"/>
  <c r="M90" i="3" s="1"/>
  <c r="J89" i="3"/>
  <c r="K89" i="3" s="1"/>
  <c r="J88" i="3"/>
  <c r="J87" i="3"/>
  <c r="J86" i="3"/>
  <c r="K85" i="3"/>
  <c r="J85" i="3"/>
  <c r="K84" i="3"/>
  <c r="J84" i="3"/>
  <c r="J83" i="3"/>
  <c r="J82" i="3"/>
  <c r="K82" i="3" s="1"/>
  <c r="L82" i="3" s="1"/>
  <c r="M82" i="3" s="1"/>
  <c r="J81" i="3"/>
  <c r="K81" i="3" s="1"/>
  <c r="J80" i="3"/>
  <c r="J79" i="3"/>
  <c r="J78" i="3"/>
  <c r="K77" i="3"/>
  <c r="J77" i="3"/>
  <c r="K76" i="3"/>
  <c r="J76" i="3"/>
  <c r="J75" i="3"/>
  <c r="J74" i="3"/>
  <c r="K74" i="3" s="1"/>
  <c r="L74" i="3" s="1"/>
  <c r="M74" i="3" s="1"/>
  <c r="J73" i="3"/>
  <c r="K73" i="3" s="1"/>
  <c r="J72" i="3"/>
  <c r="J71" i="3"/>
  <c r="J70" i="3"/>
  <c r="J69" i="3"/>
  <c r="K69" i="3" s="1"/>
  <c r="K68" i="3"/>
  <c r="J68" i="3"/>
  <c r="J67" i="3"/>
  <c r="J66" i="3"/>
  <c r="K66" i="3" s="1"/>
  <c r="L66" i="3" s="1"/>
  <c r="M66" i="3" s="1"/>
  <c r="J65" i="3"/>
  <c r="K65" i="3" s="1"/>
  <c r="J64" i="3"/>
  <c r="J63" i="3"/>
  <c r="J62" i="3"/>
  <c r="J61" i="3"/>
  <c r="K61" i="3" s="1"/>
  <c r="K60" i="3"/>
  <c r="J60" i="3"/>
  <c r="J59" i="3"/>
  <c r="J58" i="3"/>
  <c r="K58" i="3" s="1"/>
  <c r="L58" i="3" s="1"/>
  <c r="M58" i="3" s="1"/>
  <c r="J57" i="3"/>
  <c r="K57" i="3" s="1"/>
  <c r="J56" i="3"/>
  <c r="J55" i="3"/>
  <c r="J54" i="3"/>
  <c r="J53" i="3"/>
  <c r="K53" i="3" s="1"/>
  <c r="K52" i="3"/>
  <c r="J52" i="3"/>
  <c r="J51" i="3"/>
  <c r="J50" i="3"/>
  <c r="K50" i="3" s="1"/>
  <c r="L50" i="3" s="1"/>
  <c r="M50" i="3" s="1"/>
  <c r="J49" i="3"/>
  <c r="K49" i="3" s="1"/>
  <c r="J48" i="3"/>
  <c r="J47" i="3"/>
  <c r="J46" i="3"/>
  <c r="J45" i="3"/>
  <c r="K45" i="3" s="1"/>
  <c r="K44" i="3"/>
  <c r="J44" i="3"/>
  <c r="J43" i="3"/>
  <c r="J42" i="3"/>
  <c r="K42" i="3" s="1"/>
  <c r="L42" i="3" s="1"/>
  <c r="M42" i="3" s="1"/>
  <c r="J41" i="3"/>
  <c r="K41" i="3" s="1"/>
  <c r="J40" i="3"/>
  <c r="J39" i="3"/>
  <c r="J38" i="3"/>
  <c r="J37" i="3"/>
  <c r="K37" i="3" s="1"/>
  <c r="K36" i="3"/>
  <c r="J36" i="3"/>
  <c r="J35" i="3"/>
  <c r="J34" i="3"/>
  <c r="K34" i="3" s="1"/>
  <c r="L34" i="3" s="1"/>
  <c r="M34" i="3" s="1"/>
  <c r="J33" i="3"/>
  <c r="K33" i="3" s="1"/>
  <c r="J32" i="3"/>
  <c r="J31" i="3"/>
  <c r="J30" i="3"/>
  <c r="J29" i="3"/>
  <c r="K29" i="3" s="1"/>
  <c r="K28" i="3"/>
  <c r="J28" i="3"/>
  <c r="J27" i="3"/>
  <c r="J26" i="3"/>
  <c r="K26" i="3" s="1"/>
  <c r="L26" i="3" s="1"/>
  <c r="M26" i="3" s="1"/>
  <c r="J25" i="3"/>
  <c r="K25" i="3" s="1"/>
  <c r="J24" i="3"/>
  <c r="J23" i="3"/>
  <c r="J22" i="3"/>
  <c r="J21" i="3"/>
  <c r="K21" i="3" s="1"/>
  <c r="K20" i="3"/>
  <c r="J20" i="3"/>
  <c r="J19" i="3"/>
  <c r="J18" i="3"/>
  <c r="K18" i="3" s="1"/>
  <c r="L18" i="3" s="1"/>
  <c r="M18" i="3" s="1"/>
  <c r="J17" i="3"/>
  <c r="K17" i="3" s="1"/>
  <c r="J16" i="3"/>
  <c r="J15" i="3"/>
  <c r="J14" i="3"/>
  <c r="J13" i="3"/>
  <c r="K13" i="3" s="1"/>
  <c r="K12" i="3"/>
  <c r="J12" i="3"/>
  <c r="J11" i="3"/>
  <c r="J10" i="3"/>
  <c r="K10" i="3" s="1"/>
  <c r="L10" i="3" s="1"/>
  <c r="J9" i="3"/>
  <c r="K9" i="3" s="1"/>
  <c r="J8" i="3"/>
  <c r="J7" i="3"/>
  <c r="J6" i="3"/>
  <c r="J5" i="3"/>
  <c r="K5" i="3" s="1"/>
  <c r="K4" i="3"/>
  <c r="J4" i="3"/>
  <c r="J3" i="3"/>
  <c r="J2" i="3"/>
  <c r="K2" i="3" s="1"/>
  <c r="L2" i="3" s="1"/>
  <c r="M114" i="3"/>
  <c r="N120" i="3"/>
  <c r="N128" i="3"/>
  <c r="M133" i="3"/>
  <c r="N136" i="3"/>
  <c r="N139" i="3"/>
  <c r="M143" i="3"/>
  <c r="M144" i="3"/>
  <c r="M159" i="3"/>
  <c r="M160" i="3"/>
  <c r="O160" i="3" s="1"/>
  <c r="M167" i="3"/>
  <c r="M176" i="3"/>
  <c r="N177" i="3"/>
  <c r="N182" i="3"/>
  <c r="M183" i="3"/>
  <c r="M187" i="3"/>
  <c r="N193" i="3"/>
  <c r="M199" i="3"/>
  <c r="M200" i="3"/>
  <c r="O200" i="3" s="1"/>
  <c r="M203" i="3"/>
  <c r="M208" i="3"/>
  <c r="O208" i="3" s="1"/>
  <c r="N209" i="3"/>
  <c r="M211" i="3"/>
  <c r="N217" i="3"/>
  <c r="M224" i="3"/>
  <c r="O224" i="3" s="1"/>
  <c r="M227" i="3"/>
  <c r="M235" i="3"/>
  <c r="O235" i="3" s="1"/>
  <c r="N246" i="3"/>
  <c r="N254" i="3"/>
  <c r="J3" i="1"/>
  <c r="K3" i="1" s="1"/>
  <c r="L3" i="1" s="1"/>
  <c r="J4" i="1"/>
  <c r="K4" i="1" s="1"/>
  <c r="L4" i="1" s="1"/>
  <c r="J5" i="1"/>
  <c r="K5" i="1" s="1"/>
  <c r="L5" i="1" s="1"/>
  <c r="J6" i="1"/>
  <c r="J7" i="1"/>
  <c r="K7" i="1" s="1"/>
  <c r="L7" i="1" s="1"/>
  <c r="J8" i="1"/>
  <c r="K8" i="1" s="1"/>
  <c r="L8" i="1" s="1"/>
  <c r="J9" i="1"/>
  <c r="K9" i="1" s="1"/>
  <c r="L9" i="1" s="1"/>
  <c r="J10" i="1"/>
  <c r="K10" i="1" s="1"/>
  <c r="L10" i="1" s="1"/>
  <c r="J11" i="1"/>
  <c r="K11" i="1" s="1"/>
  <c r="L11" i="1" s="1"/>
  <c r="J12" i="1"/>
  <c r="K12" i="1" s="1"/>
  <c r="L12" i="1" s="1"/>
  <c r="J13" i="1"/>
  <c r="K13" i="1" s="1"/>
  <c r="L13" i="1" s="1"/>
  <c r="J14" i="1"/>
  <c r="K14" i="1" s="1"/>
  <c r="L14" i="1" s="1"/>
  <c r="J15" i="1"/>
  <c r="K15" i="1" s="1"/>
  <c r="L15" i="1" s="1"/>
  <c r="J16" i="1"/>
  <c r="K16" i="1" s="1"/>
  <c r="L16" i="1" s="1"/>
  <c r="J17" i="1"/>
  <c r="K17" i="1" s="1"/>
  <c r="L17" i="1" s="1"/>
  <c r="J18" i="1"/>
  <c r="K18" i="1" s="1"/>
  <c r="L18" i="1" s="1"/>
  <c r="J19" i="1"/>
  <c r="K19" i="1" s="1"/>
  <c r="L19" i="1" s="1"/>
  <c r="J20" i="1"/>
  <c r="K20" i="1" s="1"/>
  <c r="L20" i="1" s="1"/>
  <c r="J21" i="1"/>
  <c r="K21" i="1" s="1"/>
  <c r="L21" i="1" s="1"/>
  <c r="J22" i="1"/>
  <c r="J23" i="1"/>
  <c r="K23" i="1" s="1"/>
  <c r="L23" i="1" s="1"/>
  <c r="J24" i="1"/>
  <c r="K24" i="1" s="1"/>
  <c r="L24" i="1" s="1"/>
  <c r="J25" i="1"/>
  <c r="K25" i="1" s="1"/>
  <c r="L25" i="1" s="1"/>
  <c r="J26" i="1"/>
  <c r="K26" i="1" s="1"/>
  <c r="L26" i="1" s="1"/>
  <c r="J27" i="1"/>
  <c r="K27" i="1" s="1"/>
  <c r="L27" i="1" s="1"/>
  <c r="J28" i="1"/>
  <c r="K28" i="1" s="1"/>
  <c r="L28" i="1" s="1"/>
  <c r="J29" i="1"/>
  <c r="K29" i="1" s="1"/>
  <c r="L29" i="1" s="1"/>
  <c r="J30" i="1"/>
  <c r="K30" i="1" s="1"/>
  <c r="L30" i="1" s="1"/>
  <c r="J31" i="1"/>
  <c r="K31" i="1" s="1"/>
  <c r="L31" i="1" s="1"/>
  <c r="J32" i="1"/>
  <c r="K32" i="1" s="1"/>
  <c r="L32" i="1" s="1"/>
  <c r="J33" i="1"/>
  <c r="K33" i="1" s="1"/>
  <c r="L33" i="1" s="1"/>
  <c r="J34" i="1"/>
  <c r="K34" i="1" s="1"/>
  <c r="L34" i="1" s="1"/>
  <c r="J35" i="1"/>
  <c r="K35" i="1" s="1"/>
  <c r="L35" i="1" s="1"/>
  <c r="J36" i="1"/>
  <c r="K36" i="1" s="1"/>
  <c r="L36" i="1" s="1"/>
  <c r="J37" i="1"/>
  <c r="K37" i="1" s="1"/>
  <c r="L37" i="1" s="1"/>
  <c r="J38" i="1"/>
  <c r="J39" i="1"/>
  <c r="K39" i="1" s="1"/>
  <c r="L39" i="1" s="1"/>
  <c r="J40" i="1"/>
  <c r="K40" i="1" s="1"/>
  <c r="L40" i="1" s="1"/>
  <c r="J41" i="1"/>
  <c r="K41" i="1" s="1"/>
  <c r="L41" i="1" s="1"/>
  <c r="J42" i="1"/>
  <c r="K42" i="1" s="1"/>
  <c r="L42" i="1" s="1"/>
  <c r="J43" i="1"/>
  <c r="K43" i="1" s="1"/>
  <c r="L43" i="1" s="1"/>
  <c r="J44" i="1"/>
  <c r="K44" i="1" s="1"/>
  <c r="L44" i="1" s="1"/>
  <c r="J45" i="1"/>
  <c r="K45" i="1" s="1"/>
  <c r="L45" i="1" s="1"/>
  <c r="J46" i="1"/>
  <c r="K46" i="1" s="1"/>
  <c r="L46" i="1" s="1"/>
  <c r="J47" i="1"/>
  <c r="K47" i="1" s="1"/>
  <c r="L47" i="1" s="1"/>
  <c r="J48" i="1"/>
  <c r="K48" i="1" s="1"/>
  <c r="L48" i="1" s="1"/>
  <c r="J49" i="1"/>
  <c r="K49" i="1" s="1"/>
  <c r="L49" i="1" s="1"/>
  <c r="J50" i="1"/>
  <c r="K50" i="1" s="1"/>
  <c r="L50" i="1" s="1"/>
  <c r="J51" i="1"/>
  <c r="K51" i="1" s="1"/>
  <c r="L51" i="1" s="1"/>
  <c r="J52" i="1"/>
  <c r="K52" i="1" s="1"/>
  <c r="L52" i="1" s="1"/>
  <c r="J53" i="1"/>
  <c r="K53" i="1" s="1"/>
  <c r="L53" i="1" s="1"/>
  <c r="J54" i="1"/>
  <c r="J55" i="1"/>
  <c r="K55" i="1" s="1"/>
  <c r="L55" i="1" s="1"/>
  <c r="J56" i="1"/>
  <c r="K56" i="1" s="1"/>
  <c r="L56" i="1" s="1"/>
  <c r="J57" i="1"/>
  <c r="K57" i="1" s="1"/>
  <c r="L57" i="1" s="1"/>
  <c r="J58" i="1"/>
  <c r="K58" i="1" s="1"/>
  <c r="L58" i="1" s="1"/>
  <c r="J59" i="1"/>
  <c r="K59" i="1" s="1"/>
  <c r="L59" i="1" s="1"/>
  <c r="J60" i="1"/>
  <c r="K60" i="1" s="1"/>
  <c r="L60" i="1" s="1"/>
  <c r="J61" i="1"/>
  <c r="K61" i="1" s="1"/>
  <c r="L61" i="1" s="1"/>
  <c r="J62" i="1"/>
  <c r="K62" i="1" s="1"/>
  <c r="L62" i="1" s="1"/>
  <c r="J63" i="1"/>
  <c r="K63" i="1" s="1"/>
  <c r="L63" i="1" s="1"/>
  <c r="J64" i="1"/>
  <c r="K64" i="1" s="1"/>
  <c r="L64" i="1" s="1"/>
  <c r="J65" i="1"/>
  <c r="K65" i="1" s="1"/>
  <c r="L65" i="1" s="1"/>
  <c r="J66" i="1"/>
  <c r="K66" i="1" s="1"/>
  <c r="L66" i="1" s="1"/>
  <c r="J67" i="1"/>
  <c r="K67" i="1" s="1"/>
  <c r="L67" i="1" s="1"/>
  <c r="J68" i="1"/>
  <c r="K68" i="1" s="1"/>
  <c r="L68" i="1" s="1"/>
  <c r="J69" i="1"/>
  <c r="K69" i="1" s="1"/>
  <c r="L69" i="1" s="1"/>
  <c r="J70" i="1"/>
  <c r="J71" i="1"/>
  <c r="K71" i="1" s="1"/>
  <c r="L71" i="1" s="1"/>
  <c r="J72" i="1"/>
  <c r="K72" i="1" s="1"/>
  <c r="L72" i="1" s="1"/>
  <c r="J73" i="1"/>
  <c r="K73" i="1" s="1"/>
  <c r="L73" i="1" s="1"/>
  <c r="J74" i="1"/>
  <c r="K74" i="1" s="1"/>
  <c r="L74" i="1" s="1"/>
  <c r="J75" i="1"/>
  <c r="K75" i="1" s="1"/>
  <c r="L75" i="1" s="1"/>
  <c r="J76" i="1"/>
  <c r="K76" i="1" s="1"/>
  <c r="L76" i="1" s="1"/>
  <c r="J77" i="1"/>
  <c r="K77" i="1" s="1"/>
  <c r="L77" i="1" s="1"/>
  <c r="J78" i="1"/>
  <c r="K78" i="1" s="1"/>
  <c r="L78" i="1" s="1"/>
  <c r="J79" i="1"/>
  <c r="K79" i="1" s="1"/>
  <c r="L79" i="1" s="1"/>
  <c r="J80" i="1"/>
  <c r="K80" i="1" s="1"/>
  <c r="L80" i="1" s="1"/>
  <c r="J81" i="1"/>
  <c r="K81" i="1" s="1"/>
  <c r="L81" i="1" s="1"/>
  <c r="J82" i="1"/>
  <c r="K82" i="1" s="1"/>
  <c r="L82" i="1" s="1"/>
  <c r="J83" i="1"/>
  <c r="K83" i="1" s="1"/>
  <c r="L83" i="1" s="1"/>
  <c r="J84" i="1"/>
  <c r="K84" i="1" s="1"/>
  <c r="L84" i="1" s="1"/>
  <c r="J85" i="1"/>
  <c r="K85" i="1" s="1"/>
  <c r="L85" i="1" s="1"/>
  <c r="J86" i="1"/>
  <c r="J87" i="1"/>
  <c r="K87" i="1" s="1"/>
  <c r="L87" i="1" s="1"/>
  <c r="J88" i="1"/>
  <c r="K88" i="1" s="1"/>
  <c r="L88" i="1" s="1"/>
  <c r="J89" i="1"/>
  <c r="K89" i="1" s="1"/>
  <c r="L89" i="1" s="1"/>
  <c r="J90" i="1"/>
  <c r="K90" i="1" s="1"/>
  <c r="L90" i="1" s="1"/>
  <c r="J91" i="1"/>
  <c r="K91" i="1" s="1"/>
  <c r="L91" i="1" s="1"/>
  <c r="J92" i="1"/>
  <c r="K92" i="1" s="1"/>
  <c r="L92" i="1" s="1"/>
  <c r="J93" i="1"/>
  <c r="K93" i="1" s="1"/>
  <c r="L93" i="1" s="1"/>
  <c r="J94" i="1"/>
  <c r="K94" i="1" s="1"/>
  <c r="L94" i="1" s="1"/>
  <c r="J95" i="1"/>
  <c r="K95" i="1" s="1"/>
  <c r="L95" i="1" s="1"/>
  <c r="J96" i="1"/>
  <c r="K96" i="1" s="1"/>
  <c r="L96" i="1" s="1"/>
  <c r="J97" i="1"/>
  <c r="K97" i="1" s="1"/>
  <c r="L97" i="1" s="1"/>
  <c r="J98" i="1"/>
  <c r="K98" i="1" s="1"/>
  <c r="L98" i="1" s="1"/>
  <c r="J99" i="1"/>
  <c r="K99" i="1" s="1"/>
  <c r="L99" i="1" s="1"/>
  <c r="J100" i="1"/>
  <c r="K100" i="1" s="1"/>
  <c r="L100" i="1" s="1"/>
  <c r="J101" i="1"/>
  <c r="K101" i="1" s="1"/>
  <c r="L101" i="1" s="1"/>
  <c r="J102" i="1"/>
  <c r="J103" i="1"/>
  <c r="K103" i="1" s="1"/>
  <c r="L103" i="1" s="1"/>
  <c r="J104" i="1"/>
  <c r="K104" i="1" s="1"/>
  <c r="L104" i="1" s="1"/>
  <c r="J105" i="1"/>
  <c r="K105" i="1" s="1"/>
  <c r="L105" i="1" s="1"/>
  <c r="J106" i="1"/>
  <c r="K106" i="1" s="1"/>
  <c r="L106" i="1" s="1"/>
  <c r="J107" i="1"/>
  <c r="K107" i="1" s="1"/>
  <c r="L107" i="1" s="1"/>
  <c r="J108" i="1"/>
  <c r="K108" i="1" s="1"/>
  <c r="L108" i="1" s="1"/>
  <c r="J109" i="1"/>
  <c r="K109" i="1" s="1"/>
  <c r="L109" i="1" s="1"/>
  <c r="J110" i="1"/>
  <c r="K110" i="1" s="1"/>
  <c r="L110" i="1" s="1"/>
  <c r="J111" i="1"/>
  <c r="K111" i="1" s="1"/>
  <c r="L111" i="1" s="1"/>
  <c r="J112" i="1"/>
  <c r="K112" i="1" s="1"/>
  <c r="L112" i="1" s="1"/>
  <c r="J113" i="1"/>
  <c r="K113" i="1" s="1"/>
  <c r="L113" i="1" s="1"/>
  <c r="J114" i="1"/>
  <c r="K114" i="1" s="1"/>
  <c r="L114" i="1" s="1"/>
  <c r="J115" i="1"/>
  <c r="K115" i="1" s="1"/>
  <c r="L115" i="1" s="1"/>
  <c r="J116" i="1"/>
  <c r="K116" i="1" s="1"/>
  <c r="L116" i="1" s="1"/>
  <c r="J117" i="1"/>
  <c r="K117" i="1" s="1"/>
  <c r="L117" i="1" s="1"/>
  <c r="J118" i="1"/>
  <c r="J119" i="1"/>
  <c r="K119" i="1" s="1"/>
  <c r="L119" i="1" s="1"/>
  <c r="J120" i="1"/>
  <c r="K120" i="1" s="1"/>
  <c r="L120" i="1" s="1"/>
  <c r="J121" i="1"/>
  <c r="K121" i="1" s="1"/>
  <c r="L121" i="1" s="1"/>
  <c r="J122" i="1"/>
  <c r="K122" i="1" s="1"/>
  <c r="L122" i="1" s="1"/>
  <c r="J123" i="1"/>
  <c r="K123" i="1" s="1"/>
  <c r="L123" i="1" s="1"/>
  <c r="J124" i="1"/>
  <c r="K124" i="1" s="1"/>
  <c r="L124" i="1" s="1"/>
  <c r="J125" i="1"/>
  <c r="K125" i="1" s="1"/>
  <c r="L125" i="1" s="1"/>
  <c r="J126" i="1"/>
  <c r="K126" i="1" s="1"/>
  <c r="L126" i="1" s="1"/>
  <c r="J127" i="1"/>
  <c r="K127" i="1" s="1"/>
  <c r="L127" i="1" s="1"/>
  <c r="J128" i="1"/>
  <c r="K128" i="1" s="1"/>
  <c r="L128" i="1" s="1"/>
  <c r="J129" i="1"/>
  <c r="K129" i="1" s="1"/>
  <c r="L129" i="1" s="1"/>
  <c r="J130" i="1"/>
  <c r="K130" i="1" s="1"/>
  <c r="L130" i="1" s="1"/>
  <c r="J131" i="1"/>
  <c r="K131" i="1" s="1"/>
  <c r="L131" i="1" s="1"/>
  <c r="J132" i="1"/>
  <c r="K132" i="1" s="1"/>
  <c r="L132" i="1" s="1"/>
  <c r="J133" i="1"/>
  <c r="K133" i="1" s="1"/>
  <c r="L133" i="1" s="1"/>
  <c r="J134" i="1"/>
  <c r="J135" i="1"/>
  <c r="K135" i="1" s="1"/>
  <c r="L135" i="1" s="1"/>
  <c r="J136" i="1"/>
  <c r="K136" i="1" s="1"/>
  <c r="L136" i="1" s="1"/>
  <c r="J137" i="1"/>
  <c r="K137" i="1" s="1"/>
  <c r="L137" i="1" s="1"/>
  <c r="J138" i="1"/>
  <c r="K138" i="1" s="1"/>
  <c r="L138" i="1" s="1"/>
  <c r="J139" i="1"/>
  <c r="K139" i="1" s="1"/>
  <c r="L139" i="1" s="1"/>
  <c r="J140" i="1"/>
  <c r="K140" i="1" s="1"/>
  <c r="L140" i="1" s="1"/>
  <c r="J141" i="1"/>
  <c r="K141" i="1" s="1"/>
  <c r="L141" i="1" s="1"/>
  <c r="J142" i="1"/>
  <c r="K142" i="1" s="1"/>
  <c r="L142" i="1" s="1"/>
  <c r="J143" i="1"/>
  <c r="K143" i="1" s="1"/>
  <c r="L143" i="1" s="1"/>
  <c r="J144" i="1"/>
  <c r="K144" i="1" s="1"/>
  <c r="L144" i="1" s="1"/>
  <c r="J145" i="1"/>
  <c r="K145" i="1" s="1"/>
  <c r="L145" i="1" s="1"/>
  <c r="J146" i="1"/>
  <c r="K146" i="1" s="1"/>
  <c r="L146" i="1" s="1"/>
  <c r="J147" i="1"/>
  <c r="K147" i="1" s="1"/>
  <c r="L147" i="1" s="1"/>
  <c r="J148" i="1"/>
  <c r="K148" i="1" s="1"/>
  <c r="L148" i="1" s="1"/>
  <c r="J149" i="1"/>
  <c r="K149" i="1" s="1"/>
  <c r="L149" i="1" s="1"/>
  <c r="J150" i="1"/>
  <c r="J151" i="1"/>
  <c r="K151" i="1" s="1"/>
  <c r="L151" i="1" s="1"/>
  <c r="J152" i="1"/>
  <c r="K152" i="1" s="1"/>
  <c r="L152" i="1" s="1"/>
  <c r="J153" i="1"/>
  <c r="K153" i="1" s="1"/>
  <c r="L153" i="1" s="1"/>
  <c r="J154" i="1"/>
  <c r="K154" i="1" s="1"/>
  <c r="L154" i="1" s="1"/>
  <c r="J155" i="1"/>
  <c r="K155" i="1" s="1"/>
  <c r="L155" i="1" s="1"/>
  <c r="J156" i="1"/>
  <c r="K156" i="1" s="1"/>
  <c r="L156" i="1" s="1"/>
  <c r="J157" i="1"/>
  <c r="K157" i="1" s="1"/>
  <c r="L157" i="1" s="1"/>
  <c r="J158" i="1"/>
  <c r="K158" i="1" s="1"/>
  <c r="L158" i="1" s="1"/>
  <c r="J159" i="1"/>
  <c r="K159" i="1" s="1"/>
  <c r="L159" i="1" s="1"/>
  <c r="J160" i="1"/>
  <c r="K160" i="1" s="1"/>
  <c r="L160" i="1" s="1"/>
  <c r="J161" i="1"/>
  <c r="K161" i="1" s="1"/>
  <c r="L161" i="1" s="1"/>
  <c r="J162" i="1"/>
  <c r="K162" i="1" s="1"/>
  <c r="L162" i="1" s="1"/>
  <c r="J163" i="1"/>
  <c r="K163" i="1" s="1"/>
  <c r="L163" i="1" s="1"/>
  <c r="J164" i="1"/>
  <c r="K164" i="1" s="1"/>
  <c r="L164" i="1" s="1"/>
  <c r="J165" i="1"/>
  <c r="K165" i="1" s="1"/>
  <c r="L165" i="1" s="1"/>
  <c r="J166" i="1"/>
  <c r="J167" i="1"/>
  <c r="K167" i="1" s="1"/>
  <c r="L167" i="1" s="1"/>
  <c r="J168" i="1"/>
  <c r="K168" i="1" s="1"/>
  <c r="L168" i="1" s="1"/>
  <c r="J169" i="1"/>
  <c r="K169" i="1" s="1"/>
  <c r="L169" i="1" s="1"/>
  <c r="J170" i="1"/>
  <c r="K170" i="1" s="1"/>
  <c r="L170" i="1" s="1"/>
  <c r="J171" i="1"/>
  <c r="K171" i="1" s="1"/>
  <c r="L171" i="1" s="1"/>
  <c r="J172" i="1"/>
  <c r="K172" i="1" s="1"/>
  <c r="L172" i="1" s="1"/>
  <c r="J173" i="1"/>
  <c r="K173" i="1" s="1"/>
  <c r="L173" i="1" s="1"/>
  <c r="J174" i="1"/>
  <c r="K174" i="1" s="1"/>
  <c r="L174" i="1" s="1"/>
  <c r="J175" i="1"/>
  <c r="K175" i="1" s="1"/>
  <c r="L175" i="1" s="1"/>
  <c r="J176" i="1"/>
  <c r="K176" i="1" s="1"/>
  <c r="L176" i="1" s="1"/>
  <c r="J177" i="1"/>
  <c r="K177" i="1" s="1"/>
  <c r="L177" i="1" s="1"/>
  <c r="J178" i="1"/>
  <c r="K178" i="1" s="1"/>
  <c r="L178" i="1" s="1"/>
  <c r="J179" i="1"/>
  <c r="K179" i="1" s="1"/>
  <c r="L179" i="1" s="1"/>
  <c r="J180" i="1"/>
  <c r="K180" i="1" s="1"/>
  <c r="L180" i="1" s="1"/>
  <c r="J181" i="1"/>
  <c r="K181" i="1" s="1"/>
  <c r="L181" i="1" s="1"/>
  <c r="J182" i="1"/>
  <c r="K182" i="1" s="1"/>
  <c r="L182" i="1" s="1"/>
  <c r="J183" i="1"/>
  <c r="K183" i="1" s="1"/>
  <c r="L183" i="1" s="1"/>
  <c r="J184" i="1"/>
  <c r="K184" i="1" s="1"/>
  <c r="L184" i="1" s="1"/>
  <c r="J185" i="1"/>
  <c r="K185" i="1" s="1"/>
  <c r="L185" i="1" s="1"/>
  <c r="J186" i="1"/>
  <c r="K186" i="1" s="1"/>
  <c r="L186" i="1" s="1"/>
  <c r="J187" i="1"/>
  <c r="K187" i="1" s="1"/>
  <c r="L187" i="1" s="1"/>
  <c r="J188" i="1"/>
  <c r="K188" i="1" s="1"/>
  <c r="L188" i="1" s="1"/>
  <c r="J189" i="1"/>
  <c r="K189" i="1" s="1"/>
  <c r="L189" i="1" s="1"/>
  <c r="J190" i="1"/>
  <c r="K190" i="1" s="1"/>
  <c r="L190" i="1" s="1"/>
  <c r="J191" i="1"/>
  <c r="K191" i="1" s="1"/>
  <c r="L191" i="1" s="1"/>
  <c r="J192" i="1"/>
  <c r="K192" i="1" s="1"/>
  <c r="L192" i="1" s="1"/>
  <c r="J193" i="1"/>
  <c r="K193" i="1" s="1"/>
  <c r="L193" i="1" s="1"/>
  <c r="J194" i="1"/>
  <c r="K194" i="1" s="1"/>
  <c r="L194" i="1" s="1"/>
  <c r="J195" i="1"/>
  <c r="K195" i="1" s="1"/>
  <c r="L195" i="1" s="1"/>
  <c r="J196" i="1"/>
  <c r="K196" i="1" s="1"/>
  <c r="L196" i="1" s="1"/>
  <c r="J197" i="1"/>
  <c r="K197" i="1" s="1"/>
  <c r="L197" i="1" s="1"/>
  <c r="J198" i="1"/>
  <c r="K198" i="1" s="1"/>
  <c r="L198" i="1" s="1"/>
  <c r="J199" i="1"/>
  <c r="K199" i="1" s="1"/>
  <c r="L199" i="1" s="1"/>
  <c r="J200" i="1"/>
  <c r="K200" i="1" s="1"/>
  <c r="L200" i="1" s="1"/>
  <c r="J201" i="1"/>
  <c r="K201" i="1" s="1"/>
  <c r="L201" i="1" s="1"/>
  <c r="J202" i="1"/>
  <c r="K202" i="1" s="1"/>
  <c r="L202" i="1" s="1"/>
  <c r="J203" i="1"/>
  <c r="K203" i="1" s="1"/>
  <c r="L203" i="1" s="1"/>
  <c r="J204" i="1"/>
  <c r="K204" i="1" s="1"/>
  <c r="L204" i="1" s="1"/>
  <c r="J205" i="1"/>
  <c r="K205" i="1" s="1"/>
  <c r="L205" i="1" s="1"/>
  <c r="J206" i="1"/>
  <c r="K206" i="1" s="1"/>
  <c r="L206" i="1" s="1"/>
  <c r="J207" i="1"/>
  <c r="K207" i="1" s="1"/>
  <c r="L207" i="1" s="1"/>
  <c r="J208" i="1"/>
  <c r="K208" i="1" s="1"/>
  <c r="L208" i="1" s="1"/>
  <c r="J209" i="1"/>
  <c r="K209" i="1" s="1"/>
  <c r="L209" i="1" s="1"/>
  <c r="J210" i="1"/>
  <c r="K210" i="1" s="1"/>
  <c r="L210" i="1" s="1"/>
  <c r="J211" i="1"/>
  <c r="K211" i="1" s="1"/>
  <c r="L211" i="1" s="1"/>
  <c r="J212" i="1"/>
  <c r="K212" i="1" s="1"/>
  <c r="L212" i="1" s="1"/>
  <c r="J213" i="1"/>
  <c r="K213" i="1" s="1"/>
  <c r="L213" i="1" s="1"/>
  <c r="J214" i="1"/>
  <c r="K214" i="1" s="1"/>
  <c r="L214" i="1" s="1"/>
  <c r="J215" i="1"/>
  <c r="K215" i="1" s="1"/>
  <c r="L215" i="1" s="1"/>
  <c r="J216" i="1"/>
  <c r="K216" i="1" s="1"/>
  <c r="L216" i="1" s="1"/>
  <c r="J217" i="1"/>
  <c r="K217" i="1" s="1"/>
  <c r="L217" i="1" s="1"/>
  <c r="J218" i="1"/>
  <c r="K218" i="1" s="1"/>
  <c r="L218" i="1" s="1"/>
  <c r="J219" i="1"/>
  <c r="K219" i="1" s="1"/>
  <c r="L219" i="1" s="1"/>
  <c r="J220" i="1"/>
  <c r="K220" i="1" s="1"/>
  <c r="L220" i="1" s="1"/>
  <c r="J221" i="1"/>
  <c r="K221" i="1" s="1"/>
  <c r="L221" i="1" s="1"/>
  <c r="J222" i="1"/>
  <c r="K222" i="1" s="1"/>
  <c r="L222" i="1" s="1"/>
  <c r="J223" i="1"/>
  <c r="K223" i="1" s="1"/>
  <c r="L223" i="1" s="1"/>
  <c r="J224" i="1"/>
  <c r="K224" i="1" s="1"/>
  <c r="L224" i="1" s="1"/>
  <c r="J225" i="1"/>
  <c r="K225" i="1" s="1"/>
  <c r="L225" i="1" s="1"/>
  <c r="J226" i="1"/>
  <c r="K226" i="1" s="1"/>
  <c r="L226" i="1" s="1"/>
  <c r="J227" i="1"/>
  <c r="K227" i="1" s="1"/>
  <c r="L227" i="1" s="1"/>
  <c r="J228" i="1"/>
  <c r="K228" i="1" s="1"/>
  <c r="L228" i="1" s="1"/>
  <c r="J229" i="1"/>
  <c r="K229" i="1" s="1"/>
  <c r="L229" i="1" s="1"/>
  <c r="J230" i="1"/>
  <c r="K230" i="1" s="1"/>
  <c r="L230" i="1" s="1"/>
  <c r="J231" i="1"/>
  <c r="K231" i="1" s="1"/>
  <c r="L231" i="1" s="1"/>
  <c r="J232" i="1"/>
  <c r="K232" i="1" s="1"/>
  <c r="L232" i="1" s="1"/>
  <c r="J233" i="1"/>
  <c r="K233" i="1" s="1"/>
  <c r="L233" i="1" s="1"/>
  <c r="J234" i="1"/>
  <c r="K234" i="1" s="1"/>
  <c r="L234" i="1" s="1"/>
  <c r="J235" i="1"/>
  <c r="K235" i="1" s="1"/>
  <c r="L235" i="1" s="1"/>
  <c r="J236" i="1"/>
  <c r="K236" i="1" s="1"/>
  <c r="L236" i="1" s="1"/>
  <c r="J237" i="1"/>
  <c r="K237" i="1" s="1"/>
  <c r="L237" i="1" s="1"/>
  <c r="J238" i="1"/>
  <c r="K238" i="1" s="1"/>
  <c r="L238" i="1" s="1"/>
  <c r="J239" i="1"/>
  <c r="K239" i="1" s="1"/>
  <c r="L239" i="1" s="1"/>
  <c r="J240" i="1"/>
  <c r="K240" i="1" s="1"/>
  <c r="L240" i="1" s="1"/>
  <c r="J241" i="1"/>
  <c r="K241" i="1" s="1"/>
  <c r="L241" i="1" s="1"/>
  <c r="J242" i="1"/>
  <c r="K242" i="1" s="1"/>
  <c r="L242" i="1" s="1"/>
  <c r="J243" i="1"/>
  <c r="K243" i="1" s="1"/>
  <c r="L243" i="1" s="1"/>
  <c r="J244" i="1"/>
  <c r="K244" i="1" s="1"/>
  <c r="L244" i="1" s="1"/>
  <c r="J245" i="1"/>
  <c r="K245" i="1" s="1"/>
  <c r="L245" i="1" s="1"/>
  <c r="J246" i="1"/>
  <c r="K246" i="1" s="1"/>
  <c r="L246" i="1" s="1"/>
  <c r="J247" i="1"/>
  <c r="K247" i="1" s="1"/>
  <c r="L247" i="1" s="1"/>
  <c r="J248" i="1"/>
  <c r="K248" i="1" s="1"/>
  <c r="L248" i="1" s="1"/>
  <c r="J249" i="1"/>
  <c r="K249" i="1" s="1"/>
  <c r="L249" i="1" s="1"/>
  <c r="J250" i="1"/>
  <c r="K250" i="1" s="1"/>
  <c r="L250" i="1" s="1"/>
  <c r="J251" i="1"/>
  <c r="K251" i="1" s="1"/>
  <c r="L251" i="1" s="1"/>
  <c r="J252" i="1"/>
  <c r="K252" i="1" s="1"/>
  <c r="L252" i="1" s="1"/>
  <c r="J253" i="1"/>
  <c r="K253" i="1" s="1"/>
  <c r="L253" i="1" s="1"/>
  <c r="J254" i="1"/>
  <c r="K254" i="1" s="1"/>
  <c r="L254" i="1" s="1"/>
  <c r="J255" i="1"/>
  <c r="K255" i="1" s="1"/>
  <c r="L255" i="1" s="1"/>
  <c r="J256" i="1"/>
  <c r="K256" i="1" s="1"/>
  <c r="L256" i="1" s="1"/>
  <c r="J257" i="1"/>
  <c r="K257" i="1" s="1"/>
  <c r="L257" i="1" s="1"/>
  <c r="J258" i="1"/>
  <c r="K258" i="1" s="1"/>
  <c r="L258" i="1" s="1"/>
  <c r="J259" i="1"/>
  <c r="K259" i="1" s="1"/>
  <c r="L259" i="1" s="1"/>
  <c r="J260" i="1"/>
  <c r="K260" i="1" s="1"/>
  <c r="L260" i="1" s="1"/>
  <c r="J261" i="1"/>
  <c r="K261" i="1" s="1"/>
  <c r="L261" i="1" s="1"/>
  <c r="J262" i="1"/>
  <c r="K262" i="1" s="1"/>
  <c r="L262" i="1" s="1"/>
  <c r="J263" i="1"/>
  <c r="K263" i="1" s="1"/>
  <c r="L263" i="1" s="1"/>
  <c r="J264" i="1"/>
  <c r="K264" i="1" s="1"/>
  <c r="L264" i="1" s="1"/>
  <c r="J265" i="1"/>
  <c r="K265" i="1" s="1"/>
  <c r="L265" i="1" s="1"/>
  <c r="J266" i="1"/>
  <c r="K266" i="1" s="1"/>
  <c r="L266" i="1" s="1"/>
  <c r="J267" i="1"/>
  <c r="K267" i="1" s="1"/>
  <c r="L267" i="1" s="1"/>
  <c r="J268" i="1"/>
  <c r="K268" i="1" s="1"/>
  <c r="L268" i="1" s="1"/>
  <c r="J269" i="1"/>
  <c r="K269" i="1" s="1"/>
  <c r="L269" i="1" s="1"/>
  <c r="J270" i="1"/>
  <c r="K270" i="1" s="1"/>
  <c r="L270" i="1" s="1"/>
  <c r="J271" i="1"/>
  <c r="K271" i="1" s="1"/>
  <c r="L271" i="1" s="1"/>
  <c r="J272" i="1"/>
  <c r="K272" i="1" s="1"/>
  <c r="L272" i="1" s="1"/>
  <c r="J273" i="1"/>
  <c r="K273" i="1" s="1"/>
  <c r="L273" i="1" s="1"/>
  <c r="J274" i="1"/>
  <c r="K274" i="1" s="1"/>
  <c r="L274" i="1" s="1"/>
  <c r="J275" i="1"/>
  <c r="K275" i="1" s="1"/>
  <c r="L275" i="1" s="1"/>
  <c r="J276" i="1"/>
  <c r="K276" i="1" s="1"/>
  <c r="L276" i="1" s="1"/>
  <c r="J277" i="1"/>
  <c r="K277" i="1" s="1"/>
  <c r="L277" i="1" s="1"/>
  <c r="J278" i="1"/>
  <c r="K278" i="1" s="1"/>
  <c r="L278" i="1" s="1"/>
  <c r="J279" i="1"/>
  <c r="K279" i="1" s="1"/>
  <c r="L279" i="1" s="1"/>
  <c r="J280" i="1"/>
  <c r="K280" i="1" s="1"/>
  <c r="L280" i="1" s="1"/>
  <c r="J281" i="1"/>
  <c r="K281" i="1" s="1"/>
  <c r="L281" i="1" s="1"/>
  <c r="J282" i="1"/>
  <c r="K282" i="1" s="1"/>
  <c r="L282" i="1" s="1"/>
  <c r="J283" i="1"/>
  <c r="K283" i="1" s="1"/>
  <c r="L283" i="1" s="1"/>
  <c r="J284" i="1"/>
  <c r="K284" i="1" s="1"/>
  <c r="L284" i="1" s="1"/>
  <c r="J285" i="1"/>
  <c r="K285" i="1" s="1"/>
  <c r="L285" i="1" s="1"/>
  <c r="J286" i="1"/>
  <c r="K286" i="1" s="1"/>
  <c r="L286" i="1" s="1"/>
  <c r="J287" i="1"/>
  <c r="K287" i="1" s="1"/>
  <c r="L287" i="1" s="1"/>
  <c r="J288" i="1"/>
  <c r="K288" i="1" s="1"/>
  <c r="L288" i="1" s="1"/>
  <c r="J289" i="1"/>
  <c r="K289" i="1" s="1"/>
  <c r="L289" i="1" s="1"/>
  <c r="J290" i="1"/>
  <c r="K290" i="1" s="1"/>
  <c r="L290" i="1" s="1"/>
  <c r="J291" i="1"/>
  <c r="K291" i="1" s="1"/>
  <c r="L291" i="1" s="1"/>
  <c r="J292" i="1"/>
  <c r="K292" i="1" s="1"/>
  <c r="L292" i="1" s="1"/>
  <c r="J293" i="1"/>
  <c r="K293" i="1" s="1"/>
  <c r="L293" i="1" s="1"/>
  <c r="J294" i="1"/>
  <c r="K294" i="1" s="1"/>
  <c r="L294" i="1" s="1"/>
  <c r="J295" i="1"/>
  <c r="K295" i="1" s="1"/>
  <c r="L295" i="1" s="1"/>
  <c r="J296" i="1"/>
  <c r="K296" i="1" s="1"/>
  <c r="L296" i="1" s="1"/>
  <c r="J297" i="1"/>
  <c r="K297" i="1" s="1"/>
  <c r="L297" i="1" s="1"/>
  <c r="J298" i="1"/>
  <c r="K298" i="1" s="1"/>
  <c r="L298" i="1" s="1"/>
  <c r="J299" i="1"/>
  <c r="K299" i="1" s="1"/>
  <c r="L299" i="1" s="1"/>
  <c r="J300" i="1"/>
  <c r="K300" i="1" s="1"/>
  <c r="L300" i="1" s="1"/>
  <c r="J301" i="1"/>
  <c r="K301" i="1" s="1"/>
  <c r="L301" i="1" s="1"/>
  <c r="J302" i="1"/>
  <c r="K302" i="1" s="1"/>
  <c r="L302" i="1" s="1"/>
  <c r="J303" i="1"/>
  <c r="K303" i="1" s="1"/>
  <c r="L303" i="1" s="1"/>
  <c r="J304" i="1"/>
  <c r="K304" i="1" s="1"/>
  <c r="L304" i="1" s="1"/>
  <c r="J305" i="1"/>
  <c r="K305" i="1" s="1"/>
  <c r="L305" i="1" s="1"/>
  <c r="J306" i="1"/>
  <c r="K306" i="1" s="1"/>
  <c r="L306" i="1" s="1"/>
  <c r="J307" i="1"/>
  <c r="K307" i="1" s="1"/>
  <c r="L307" i="1" s="1"/>
  <c r="J308" i="1"/>
  <c r="K308" i="1" s="1"/>
  <c r="L308" i="1" s="1"/>
  <c r="J309" i="1"/>
  <c r="K309" i="1" s="1"/>
  <c r="L309" i="1" s="1"/>
  <c r="J310" i="1"/>
  <c r="K310" i="1" s="1"/>
  <c r="L310" i="1" s="1"/>
  <c r="J311" i="1"/>
  <c r="K311" i="1" s="1"/>
  <c r="L311" i="1" s="1"/>
  <c r="J312" i="1"/>
  <c r="K312" i="1" s="1"/>
  <c r="L312" i="1" s="1"/>
  <c r="J313" i="1"/>
  <c r="K313" i="1" s="1"/>
  <c r="L313" i="1" s="1"/>
  <c r="J314" i="1"/>
  <c r="K314" i="1" s="1"/>
  <c r="L314" i="1" s="1"/>
  <c r="J315" i="1"/>
  <c r="K315" i="1" s="1"/>
  <c r="L315" i="1" s="1"/>
  <c r="J316" i="1"/>
  <c r="K316" i="1" s="1"/>
  <c r="L316" i="1" s="1"/>
  <c r="J317" i="1"/>
  <c r="K317" i="1" s="1"/>
  <c r="L317" i="1" s="1"/>
  <c r="J318" i="1"/>
  <c r="K318" i="1" s="1"/>
  <c r="L318" i="1" s="1"/>
  <c r="J319" i="1"/>
  <c r="K319" i="1" s="1"/>
  <c r="L319" i="1" s="1"/>
  <c r="J320" i="1"/>
  <c r="K320" i="1" s="1"/>
  <c r="L320" i="1" s="1"/>
  <c r="J321" i="1"/>
  <c r="K321" i="1" s="1"/>
  <c r="L321" i="1" s="1"/>
  <c r="J322" i="1"/>
  <c r="K322" i="1" s="1"/>
  <c r="L322" i="1" s="1"/>
  <c r="J323" i="1"/>
  <c r="K323" i="1" s="1"/>
  <c r="L323" i="1" s="1"/>
  <c r="J324" i="1"/>
  <c r="K324" i="1" s="1"/>
  <c r="L324" i="1" s="1"/>
  <c r="J325" i="1"/>
  <c r="K325" i="1" s="1"/>
  <c r="L325" i="1" s="1"/>
  <c r="J326" i="1"/>
  <c r="K326" i="1" s="1"/>
  <c r="L326" i="1" s="1"/>
  <c r="J327" i="1"/>
  <c r="K327" i="1" s="1"/>
  <c r="L327" i="1" s="1"/>
  <c r="J328" i="1"/>
  <c r="K328" i="1" s="1"/>
  <c r="L328" i="1" s="1"/>
  <c r="J329" i="1"/>
  <c r="K329" i="1" s="1"/>
  <c r="L329" i="1" s="1"/>
  <c r="J330" i="1"/>
  <c r="K330" i="1" s="1"/>
  <c r="L330" i="1" s="1"/>
  <c r="J331" i="1"/>
  <c r="K331" i="1" s="1"/>
  <c r="L331" i="1" s="1"/>
  <c r="J332" i="1"/>
  <c r="K332" i="1" s="1"/>
  <c r="L332" i="1" s="1"/>
  <c r="J333" i="1"/>
  <c r="K333" i="1" s="1"/>
  <c r="L333" i="1" s="1"/>
  <c r="J334" i="1"/>
  <c r="K334" i="1" s="1"/>
  <c r="L334" i="1" s="1"/>
  <c r="J335" i="1"/>
  <c r="K335" i="1" s="1"/>
  <c r="L335" i="1" s="1"/>
  <c r="J336" i="1"/>
  <c r="K336" i="1" s="1"/>
  <c r="L336" i="1" s="1"/>
  <c r="J337" i="1"/>
  <c r="K337" i="1" s="1"/>
  <c r="L337" i="1" s="1"/>
  <c r="J338" i="1"/>
  <c r="K338" i="1" s="1"/>
  <c r="L338" i="1" s="1"/>
  <c r="J339" i="1"/>
  <c r="K339" i="1" s="1"/>
  <c r="L339" i="1" s="1"/>
  <c r="J2" i="1"/>
  <c r="K2" i="1" s="1"/>
  <c r="L2" i="1" s="1"/>
  <c r="N3" i="1"/>
  <c r="N5" i="1"/>
  <c r="N9" i="1"/>
  <c r="N10" i="1"/>
  <c r="N12" i="1"/>
  <c r="N14" i="1"/>
  <c r="N15" i="1"/>
  <c r="M16" i="1"/>
  <c r="M17" i="1"/>
  <c r="N18" i="1"/>
  <c r="N19" i="1"/>
  <c r="N21" i="1"/>
  <c r="N25" i="1"/>
  <c r="N26" i="1"/>
  <c r="N28" i="1"/>
  <c r="N30" i="1"/>
  <c r="N31" i="1"/>
  <c r="M32" i="1"/>
  <c r="M33" i="1"/>
  <c r="N34" i="1"/>
  <c r="N35" i="1"/>
  <c r="N37" i="1"/>
  <c r="N41" i="1"/>
  <c r="N42" i="1"/>
  <c r="N44" i="1"/>
  <c r="N46" i="1"/>
  <c r="N47" i="1"/>
  <c r="M48" i="1"/>
  <c r="M49" i="1"/>
  <c r="N50" i="1"/>
  <c r="N51" i="1"/>
  <c r="N53" i="1"/>
  <c r="N57" i="1"/>
  <c r="N58" i="1"/>
  <c r="N60" i="1"/>
  <c r="N62" i="1"/>
  <c r="N63" i="1"/>
  <c r="M64" i="1"/>
  <c r="M65" i="1"/>
  <c r="N66" i="1"/>
  <c r="N67" i="1"/>
  <c r="N69" i="1"/>
  <c r="N73" i="1"/>
  <c r="N74" i="1"/>
  <c r="N76" i="1"/>
  <c r="N78" i="1"/>
  <c r="N79" i="1"/>
  <c r="M80" i="1"/>
  <c r="M81" i="1"/>
  <c r="N82" i="1"/>
  <c r="N83" i="1"/>
  <c r="N85" i="1"/>
  <c r="N89" i="1"/>
  <c r="N90" i="1"/>
  <c r="N92" i="1"/>
  <c r="N94" i="1"/>
  <c r="N95" i="1"/>
  <c r="M96" i="1"/>
  <c r="M97" i="1"/>
  <c r="N98" i="1"/>
  <c r="N99" i="1"/>
  <c r="N101" i="1"/>
  <c r="N105" i="1"/>
  <c r="N106" i="1"/>
  <c r="N108" i="1"/>
  <c r="N110" i="1"/>
  <c r="N111" i="1"/>
  <c r="M112" i="1"/>
  <c r="M113" i="1"/>
  <c r="N114" i="1"/>
  <c r="N115" i="1"/>
  <c r="N117" i="1"/>
  <c r="N121" i="1"/>
  <c r="N122" i="1"/>
  <c r="N124" i="1"/>
  <c r="N126" i="1"/>
  <c r="N127" i="1"/>
  <c r="M128" i="1"/>
  <c r="M129" i="1"/>
  <c r="N130" i="1"/>
  <c r="N131" i="1"/>
  <c r="N133" i="1"/>
  <c r="N137" i="1"/>
  <c r="N138" i="1"/>
  <c r="N140" i="1"/>
  <c r="N142" i="1"/>
  <c r="N143" i="1"/>
  <c r="M144" i="1"/>
  <c r="M145" i="1"/>
  <c r="N146" i="1"/>
  <c r="N147" i="1"/>
  <c r="N149" i="1"/>
  <c r="N153" i="1"/>
  <c r="N154" i="1"/>
  <c r="N156" i="1"/>
  <c r="N158" i="1"/>
  <c r="N159" i="1"/>
  <c r="M160" i="1"/>
  <c r="M161" i="1"/>
  <c r="N162" i="1"/>
  <c r="N163" i="1"/>
  <c r="N165" i="1"/>
  <c r="N169" i="1"/>
  <c r="N170" i="1"/>
  <c r="N172" i="1"/>
  <c r="N174" i="1"/>
  <c r="N175" i="1"/>
  <c r="M176" i="1"/>
  <c r="M177" i="1"/>
  <c r="N178" i="1"/>
  <c r="N179" i="1"/>
  <c r="N181" i="1"/>
  <c r="N185" i="1"/>
  <c r="N186" i="1"/>
  <c r="N188" i="1"/>
  <c r="N190" i="1"/>
  <c r="N191" i="1"/>
  <c r="M192" i="1"/>
  <c r="M193" i="1"/>
  <c r="N194" i="1"/>
  <c r="N195" i="1"/>
  <c r="N197" i="1"/>
  <c r="N201" i="1"/>
  <c r="N202" i="1"/>
  <c r="N204" i="1"/>
  <c r="N206" i="1"/>
  <c r="N207" i="1"/>
  <c r="M208" i="1"/>
  <c r="M209" i="1"/>
  <c r="N210" i="1"/>
  <c r="N211" i="1"/>
  <c r="N213" i="1"/>
  <c r="N217" i="1"/>
  <c r="N218" i="1"/>
  <c r="N220" i="1"/>
  <c r="N222" i="1"/>
  <c r="N223" i="1"/>
  <c r="M224" i="1"/>
  <c r="M225" i="1"/>
  <c r="N226" i="1"/>
  <c r="N227" i="1"/>
  <c r="N229" i="1"/>
  <c r="N233" i="1"/>
  <c r="N234" i="1"/>
  <c r="N236" i="1"/>
  <c r="N238" i="1"/>
  <c r="N239" i="1"/>
  <c r="M240" i="1"/>
  <c r="M241" i="1"/>
  <c r="N242" i="1"/>
  <c r="N243" i="1"/>
  <c r="N245" i="1"/>
  <c r="N247" i="1"/>
  <c r="N248" i="1"/>
  <c r="N249" i="1"/>
  <c r="N250" i="1"/>
  <c r="N252" i="1"/>
  <c r="N253" i="1"/>
  <c r="N254" i="1"/>
  <c r="N255" i="1"/>
  <c r="M256" i="1"/>
  <c r="M257" i="1"/>
  <c r="N258" i="1"/>
  <c r="N259" i="1"/>
  <c r="N261" i="1"/>
  <c r="N263" i="1"/>
  <c r="N264" i="1"/>
  <c r="N265" i="1"/>
  <c r="N266" i="1"/>
  <c r="N268" i="1"/>
  <c r="N269" i="1"/>
  <c r="N270" i="1"/>
  <c r="N271" i="1"/>
  <c r="M272" i="1"/>
  <c r="M273" i="1"/>
  <c r="N274" i="1"/>
  <c r="N275" i="1"/>
  <c r="N277" i="1"/>
  <c r="N279" i="1"/>
  <c r="N280" i="1"/>
  <c r="N281" i="1"/>
  <c r="N282" i="1"/>
  <c r="N284" i="1"/>
  <c r="N285" i="1"/>
  <c r="N286" i="1"/>
  <c r="N287" i="1"/>
  <c r="M288" i="1"/>
  <c r="M289" i="1"/>
  <c r="N290" i="1"/>
  <c r="N291" i="1"/>
  <c r="N293" i="1"/>
  <c r="N295" i="1"/>
  <c r="N296" i="1"/>
  <c r="N297" i="1"/>
  <c r="N298" i="1"/>
  <c r="N299" i="1"/>
  <c r="N300" i="1"/>
  <c r="N301" i="1"/>
  <c r="N302" i="1"/>
  <c r="N303" i="1"/>
  <c r="M304" i="1"/>
  <c r="M305" i="1"/>
  <c r="N306" i="1"/>
  <c r="N307" i="1"/>
  <c r="N309" i="1"/>
  <c r="N311" i="1"/>
  <c r="N312" i="1"/>
  <c r="N313" i="1"/>
  <c r="N314" i="1"/>
  <c r="N315" i="1"/>
  <c r="N316" i="1"/>
  <c r="N317" i="1"/>
  <c r="N318" i="1"/>
  <c r="N319" i="1"/>
  <c r="M320" i="1"/>
  <c r="M321" i="1"/>
  <c r="N322" i="1"/>
  <c r="N323" i="1"/>
  <c r="N325" i="1"/>
  <c r="N327" i="1"/>
  <c r="N328" i="1"/>
  <c r="N329" i="1"/>
  <c r="N330" i="1"/>
  <c r="N331" i="1"/>
  <c r="N332" i="1"/>
  <c r="N333" i="1"/>
  <c r="N334" i="1"/>
  <c r="N335" i="1"/>
  <c r="M336" i="1"/>
  <c r="M337" i="1"/>
  <c r="N338" i="1"/>
  <c r="N339" i="1"/>
  <c r="O34" i="7" l="1"/>
  <c r="O14" i="7"/>
  <c r="O132" i="7"/>
  <c r="O185" i="7"/>
  <c r="O209" i="7"/>
  <c r="O18" i="7"/>
  <c r="O82" i="7"/>
  <c r="O289" i="7"/>
  <c r="O106" i="7"/>
  <c r="O54" i="7"/>
  <c r="O153" i="7"/>
  <c r="O227" i="3"/>
  <c r="O109" i="7"/>
  <c r="O118" i="7"/>
  <c r="N307" i="7"/>
  <c r="O47" i="7"/>
  <c r="O79" i="7"/>
  <c r="N128" i="7"/>
  <c r="O128" i="7" s="1"/>
  <c r="N323" i="7"/>
  <c r="N144" i="7"/>
  <c r="O31" i="7"/>
  <c r="O63" i="7"/>
  <c r="N301" i="7"/>
  <c r="O214" i="7"/>
  <c r="O238" i="7"/>
  <c r="L184" i="3"/>
  <c r="N184" i="3" s="1"/>
  <c r="M115" i="3"/>
  <c r="O115" i="3" s="1"/>
  <c r="M112" i="3"/>
  <c r="M95" i="3"/>
  <c r="M135" i="3"/>
  <c r="O135" i="3" s="1"/>
  <c r="M192" i="3"/>
  <c r="O192" i="3" s="1"/>
  <c r="L282" i="3"/>
  <c r="M282" i="3" s="1"/>
  <c r="M128" i="3"/>
  <c r="O128" i="3" s="1"/>
  <c r="K135" i="3"/>
  <c r="L135" i="3" s="1"/>
  <c r="N135" i="3" s="1"/>
  <c r="N273" i="3"/>
  <c r="N305" i="3"/>
  <c r="N337" i="3"/>
  <c r="N225" i="3"/>
  <c r="N144" i="3"/>
  <c r="O144" i="3" s="1"/>
  <c r="K274" i="3"/>
  <c r="K306" i="3"/>
  <c r="M246" i="3"/>
  <c r="O246" i="3" s="1"/>
  <c r="N179" i="3"/>
  <c r="N265" i="3"/>
  <c r="N297" i="3"/>
  <c r="N329" i="3"/>
  <c r="K130" i="3"/>
  <c r="L130" i="3" s="1"/>
  <c r="M130" i="3" s="1"/>
  <c r="N23" i="3"/>
  <c r="N31" i="3"/>
  <c r="N39" i="3"/>
  <c r="N79" i="3"/>
  <c r="N95" i="3"/>
  <c r="O95" i="3" s="1"/>
  <c r="N163" i="3"/>
  <c r="N187" i="3"/>
  <c r="O187" i="3" s="1"/>
  <c r="K266" i="3"/>
  <c r="K298" i="3"/>
  <c r="K330" i="3"/>
  <c r="K7" i="3"/>
  <c r="L7" i="3" s="1"/>
  <c r="N7" i="3" s="1"/>
  <c r="K15" i="3"/>
  <c r="L15" i="3" s="1"/>
  <c r="N15" i="3" s="1"/>
  <c r="K23" i="3"/>
  <c r="L23" i="3" s="1"/>
  <c r="K31" i="3"/>
  <c r="L31" i="3" s="1"/>
  <c r="K39" i="3"/>
  <c r="L39" i="3" s="1"/>
  <c r="K47" i="3"/>
  <c r="L47" i="3" s="1"/>
  <c r="N47" i="3" s="1"/>
  <c r="K55" i="3"/>
  <c r="L55" i="3" s="1"/>
  <c r="N55" i="3" s="1"/>
  <c r="K63" i="3"/>
  <c r="L63" i="3" s="1"/>
  <c r="N63" i="3" s="1"/>
  <c r="K71" i="3"/>
  <c r="L71" i="3" s="1"/>
  <c r="N71" i="3" s="1"/>
  <c r="K79" i="3"/>
  <c r="L79" i="3" s="1"/>
  <c r="K87" i="3"/>
  <c r="L87" i="3" s="1"/>
  <c r="N87" i="3" s="1"/>
  <c r="K95" i="3"/>
  <c r="L95" i="3" s="1"/>
  <c r="K103" i="3"/>
  <c r="L103" i="3" s="1"/>
  <c r="N103" i="3" s="1"/>
  <c r="K111" i="3"/>
  <c r="L111" i="3" s="1"/>
  <c r="N111" i="3" s="1"/>
  <c r="M182" i="3"/>
  <c r="O182" i="3" s="1"/>
  <c r="N203" i="3"/>
  <c r="O203" i="3" s="1"/>
  <c r="N211" i="3"/>
  <c r="O211" i="3" s="1"/>
  <c r="N219" i="3"/>
  <c r="N257" i="3"/>
  <c r="N289" i="3"/>
  <c r="N321" i="3"/>
  <c r="L131" i="3"/>
  <c r="N131" i="3" s="1"/>
  <c r="L147" i="3"/>
  <c r="N147" i="3" s="1"/>
  <c r="M314" i="3"/>
  <c r="M8" i="3"/>
  <c r="M16" i="3"/>
  <c r="M24" i="3"/>
  <c r="M64" i="3"/>
  <c r="M72" i="3"/>
  <c r="M80" i="3"/>
  <c r="O80" i="3" s="1"/>
  <c r="N112" i="3"/>
  <c r="K198" i="3"/>
  <c r="L198" i="3" s="1"/>
  <c r="N198" i="3" s="1"/>
  <c r="K230" i="3"/>
  <c r="L230" i="3" s="1"/>
  <c r="N230" i="3" s="1"/>
  <c r="K258" i="3"/>
  <c r="K290" i="3"/>
  <c r="K322" i="3"/>
  <c r="K8" i="3"/>
  <c r="L8" i="3" s="1"/>
  <c r="N8" i="3" s="1"/>
  <c r="K16" i="3"/>
  <c r="L16" i="3" s="1"/>
  <c r="N16" i="3" s="1"/>
  <c r="K24" i="3"/>
  <c r="L24" i="3" s="1"/>
  <c r="N24" i="3" s="1"/>
  <c r="O24" i="3" s="1"/>
  <c r="K32" i="3"/>
  <c r="L32" i="3" s="1"/>
  <c r="N32" i="3" s="1"/>
  <c r="K40" i="3"/>
  <c r="L40" i="3" s="1"/>
  <c r="N40" i="3" s="1"/>
  <c r="K48" i="3"/>
  <c r="L48" i="3" s="1"/>
  <c r="N48" i="3" s="1"/>
  <c r="K56" i="3"/>
  <c r="L56" i="3" s="1"/>
  <c r="N56" i="3" s="1"/>
  <c r="K64" i="3"/>
  <c r="L64" i="3" s="1"/>
  <c r="N64" i="3" s="1"/>
  <c r="K72" i="3"/>
  <c r="L72" i="3" s="1"/>
  <c r="N72" i="3" s="1"/>
  <c r="K80" i="3"/>
  <c r="L80" i="3" s="1"/>
  <c r="N80" i="3" s="1"/>
  <c r="K88" i="3"/>
  <c r="L88" i="3" s="1"/>
  <c r="N88" i="3" s="1"/>
  <c r="K96" i="3"/>
  <c r="L96" i="3" s="1"/>
  <c r="N96" i="3" s="1"/>
  <c r="K104" i="3"/>
  <c r="L104" i="3" s="1"/>
  <c r="N104" i="3" s="1"/>
  <c r="K112" i="3"/>
  <c r="L112" i="3" s="1"/>
  <c r="N190" i="3"/>
  <c r="N176" i="3"/>
  <c r="O176" i="3" s="1"/>
  <c r="N222" i="3"/>
  <c r="N241" i="3"/>
  <c r="M250" i="3"/>
  <c r="N281" i="3"/>
  <c r="N313" i="3"/>
  <c r="K119" i="3"/>
  <c r="L250" i="3"/>
  <c r="N250" i="3" s="1"/>
  <c r="N314" i="3"/>
  <c r="O314" i="3" s="1"/>
  <c r="N283" i="1"/>
  <c r="N267" i="1"/>
  <c r="N251" i="1"/>
  <c r="N235" i="1"/>
  <c r="N219" i="1"/>
  <c r="N203" i="1"/>
  <c r="N187" i="1"/>
  <c r="N171" i="1"/>
  <c r="N155" i="1"/>
  <c r="N139" i="1"/>
  <c r="N123" i="1"/>
  <c r="N107" i="1"/>
  <c r="N91" i="1"/>
  <c r="N75" i="1"/>
  <c r="N59" i="1"/>
  <c r="N43" i="1"/>
  <c r="N27" i="1"/>
  <c r="N11" i="1"/>
  <c r="M175" i="1"/>
  <c r="O175" i="1" s="1"/>
  <c r="M159" i="1"/>
  <c r="O159" i="1" s="1"/>
  <c r="N241" i="1"/>
  <c r="O241" i="1" s="1"/>
  <c r="N237" i="1"/>
  <c r="N221" i="1"/>
  <c r="N205" i="1"/>
  <c r="N189" i="1"/>
  <c r="N173" i="1"/>
  <c r="N157" i="1"/>
  <c r="N141" i="1"/>
  <c r="N125" i="1"/>
  <c r="N109" i="1"/>
  <c r="N93" i="1"/>
  <c r="N77" i="1"/>
  <c r="N61" i="1"/>
  <c r="N45" i="1"/>
  <c r="N29" i="1"/>
  <c r="N13" i="1"/>
  <c r="O2" i="7"/>
  <c r="N24" i="7"/>
  <c r="K24" i="7"/>
  <c r="L24" i="7" s="1"/>
  <c r="M10" i="7"/>
  <c r="O10" i="7" s="1"/>
  <c r="K32" i="7"/>
  <c r="L32" i="7" s="1"/>
  <c r="N32" i="7" s="1"/>
  <c r="M39" i="7"/>
  <c r="O39" i="7" s="1"/>
  <c r="O62" i="7"/>
  <c r="N164" i="7"/>
  <c r="M164" i="7"/>
  <c r="O201" i="7"/>
  <c r="M3" i="7"/>
  <c r="K3" i="7"/>
  <c r="L3" i="7" s="1"/>
  <c r="N3" i="7" s="1"/>
  <c r="M26" i="7"/>
  <c r="O26" i="7" s="1"/>
  <c r="K48" i="7"/>
  <c r="L48" i="7" s="1"/>
  <c r="N48" i="7" s="1"/>
  <c r="M55" i="7"/>
  <c r="O55" i="7" s="1"/>
  <c r="O78" i="7"/>
  <c r="O102" i="7"/>
  <c r="N137" i="7"/>
  <c r="O137" i="7" s="1"/>
  <c r="O217" i="7"/>
  <c r="O225" i="7"/>
  <c r="K172" i="7"/>
  <c r="L172" i="7" s="1"/>
  <c r="N172" i="7" s="1"/>
  <c r="K19" i="7"/>
  <c r="L19" i="7" s="1"/>
  <c r="N19" i="7"/>
  <c r="M19" i="7"/>
  <c r="M42" i="7"/>
  <c r="O42" i="7" s="1"/>
  <c r="N64" i="7"/>
  <c r="K64" i="7"/>
  <c r="L64" i="7" s="1"/>
  <c r="M71" i="7"/>
  <c r="O71" i="7" s="1"/>
  <c r="K27" i="7"/>
  <c r="L27" i="7" s="1"/>
  <c r="N27" i="7" s="1"/>
  <c r="O50" i="7"/>
  <c r="N57" i="7"/>
  <c r="M103" i="7"/>
  <c r="L103" i="7"/>
  <c r="N103" i="7" s="1"/>
  <c r="N133" i="7"/>
  <c r="K35" i="7"/>
  <c r="L35" i="7" s="1"/>
  <c r="N35" i="7" s="1"/>
  <c r="M35" i="7"/>
  <c r="O58" i="7"/>
  <c r="K80" i="7"/>
  <c r="L80" i="7" s="1"/>
  <c r="N80" i="7" s="1"/>
  <c r="M87" i="7"/>
  <c r="O87" i="7" s="1"/>
  <c r="M95" i="7"/>
  <c r="L95" i="7"/>
  <c r="N95" i="7" s="1"/>
  <c r="M104" i="7"/>
  <c r="O104" i="7" s="1"/>
  <c r="N104" i="7"/>
  <c r="K104" i="7"/>
  <c r="L104" i="7" s="1"/>
  <c r="M72" i="7"/>
  <c r="K72" i="7"/>
  <c r="L72" i="7" s="1"/>
  <c r="N72" i="7" s="1"/>
  <c r="K43" i="7"/>
  <c r="L43" i="7" s="1"/>
  <c r="N43" i="7"/>
  <c r="M43" i="7"/>
  <c r="O66" i="7"/>
  <c r="M88" i="7"/>
  <c r="N88" i="7"/>
  <c r="K88" i="7"/>
  <c r="L88" i="7" s="1"/>
  <c r="M96" i="7"/>
  <c r="K96" i="7"/>
  <c r="L96" i="7" s="1"/>
  <c r="N96" i="7" s="1"/>
  <c r="N40" i="7"/>
  <c r="K40" i="7"/>
  <c r="L40" i="7" s="1"/>
  <c r="K56" i="7"/>
  <c r="L56" i="7" s="1"/>
  <c r="N56" i="7" s="1"/>
  <c r="O6" i="7"/>
  <c r="M44" i="7"/>
  <c r="O44" i="7" s="1"/>
  <c r="N51" i="7"/>
  <c r="K51" i="7"/>
  <c r="L51" i="7" s="1"/>
  <c r="M51" i="7"/>
  <c r="M74" i="7"/>
  <c r="O74" i="7" s="1"/>
  <c r="L120" i="7"/>
  <c r="M120" i="7"/>
  <c r="N89" i="7"/>
  <c r="M113" i="7"/>
  <c r="N113" i="7"/>
  <c r="K59" i="7"/>
  <c r="L59" i="7" s="1"/>
  <c r="N59" i="7"/>
  <c r="O22" i="7"/>
  <c r="M60" i="7"/>
  <c r="N67" i="7"/>
  <c r="K67" i="7"/>
  <c r="L67" i="7" s="1"/>
  <c r="M90" i="7"/>
  <c r="O90" i="7" s="1"/>
  <c r="M98" i="7"/>
  <c r="O98" i="7" s="1"/>
  <c r="K75" i="7"/>
  <c r="L75" i="7" s="1"/>
  <c r="N75" i="7" s="1"/>
  <c r="M75" i="7"/>
  <c r="M148" i="7"/>
  <c r="M161" i="7"/>
  <c r="N161" i="7"/>
  <c r="M7" i="7"/>
  <c r="O7" i="7" s="1"/>
  <c r="K83" i="7"/>
  <c r="L83" i="7" s="1"/>
  <c r="N83" i="7"/>
  <c r="M83" i="7"/>
  <c r="K107" i="7"/>
  <c r="L107" i="7" s="1"/>
  <c r="N107" i="7" s="1"/>
  <c r="M107" i="7"/>
  <c r="K255" i="7"/>
  <c r="L255" i="7" s="1"/>
  <c r="N255" i="7" s="1"/>
  <c r="K8" i="7"/>
  <c r="L8" i="7" s="1"/>
  <c r="N8" i="7" s="1"/>
  <c r="O46" i="7"/>
  <c r="K91" i="7"/>
  <c r="L91" i="7" s="1"/>
  <c r="N91" i="7" s="1"/>
  <c r="N99" i="7"/>
  <c r="K99" i="7"/>
  <c r="L99" i="7" s="1"/>
  <c r="O121" i="7"/>
  <c r="K11" i="7"/>
  <c r="L11" i="7" s="1"/>
  <c r="N11" i="7"/>
  <c r="M11" i="7"/>
  <c r="O11" i="7" s="1"/>
  <c r="M15" i="7"/>
  <c r="O15" i="7" s="1"/>
  <c r="M108" i="7"/>
  <c r="M16" i="7"/>
  <c r="N16" i="7"/>
  <c r="K16" i="7"/>
  <c r="L16" i="7" s="1"/>
  <c r="M23" i="7"/>
  <c r="O23" i="7" s="1"/>
  <c r="M116" i="7"/>
  <c r="M156" i="7"/>
  <c r="N156" i="7"/>
  <c r="K156" i="7"/>
  <c r="L156" i="7" s="1"/>
  <c r="M177" i="7"/>
  <c r="N177" i="7"/>
  <c r="O193" i="7"/>
  <c r="N272" i="7"/>
  <c r="M272" i="7"/>
  <c r="N171" i="7"/>
  <c r="M5" i="7"/>
  <c r="O5" i="7" s="1"/>
  <c r="M13" i="7"/>
  <c r="O13" i="7" s="1"/>
  <c r="M21" i="7"/>
  <c r="O21" i="7" s="1"/>
  <c r="M29" i="7"/>
  <c r="O29" i="7" s="1"/>
  <c r="M37" i="7"/>
  <c r="O37" i="7" s="1"/>
  <c r="M45" i="7"/>
  <c r="O45" i="7" s="1"/>
  <c r="M53" i="7"/>
  <c r="O53" i="7" s="1"/>
  <c r="M61" i="7"/>
  <c r="O61" i="7" s="1"/>
  <c r="M69" i="7"/>
  <c r="O69" i="7" s="1"/>
  <c r="M77" i="7"/>
  <c r="O77" i="7" s="1"/>
  <c r="M85" i="7"/>
  <c r="O85" i="7" s="1"/>
  <c r="M93" i="7"/>
  <c r="O93" i="7" s="1"/>
  <c r="M101" i="7"/>
  <c r="O101" i="7" s="1"/>
  <c r="N116" i="7"/>
  <c r="M124" i="7"/>
  <c r="O124" i="7" s="1"/>
  <c r="M133" i="7"/>
  <c r="O133" i="7" s="1"/>
  <c r="L133" i="7"/>
  <c r="K146" i="7"/>
  <c r="N151" i="7"/>
  <c r="M151" i="7"/>
  <c r="M166" i="7"/>
  <c r="M171" i="7"/>
  <c r="K188" i="7"/>
  <c r="L188" i="7" s="1"/>
  <c r="N188" i="7" s="1"/>
  <c r="N199" i="7"/>
  <c r="M199" i="7"/>
  <c r="N216" i="7"/>
  <c r="O216" i="7" s="1"/>
  <c r="N244" i="7"/>
  <c r="M278" i="7"/>
  <c r="O278" i="7" s="1"/>
  <c r="K284" i="7"/>
  <c r="L284" i="7" s="1"/>
  <c r="N284" i="7" s="1"/>
  <c r="N315" i="7"/>
  <c r="M110" i="7"/>
  <c r="O110" i="7" s="1"/>
  <c r="M117" i="7"/>
  <c r="O117" i="7" s="1"/>
  <c r="M125" i="7"/>
  <c r="L125" i="7"/>
  <c r="M129" i="7"/>
  <c r="O129" i="7" s="1"/>
  <c r="K138" i="7"/>
  <c r="N143" i="7"/>
  <c r="M143" i="7"/>
  <c r="M147" i="7"/>
  <c r="L147" i="7"/>
  <c r="N167" i="7"/>
  <c r="M167" i="7"/>
  <c r="O200" i="7"/>
  <c r="M211" i="7"/>
  <c r="N222" i="7"/>
  <c r="O222" i="7" s="1"/>
  <c r="K228" i="7"/>
  <c r="L228" i="7" s="1"/>
  <c r="M233" i="7"/>
  <c r="O233" i="7" s="1"/>
  <c r="N239" i="7"/>
  <c r="M239" i="7"/>
  <c r="M244" i="7"/>
  <c r="N256" i="7"/>
  <c r="O256" i="7" s="1"/>
  <c r="L273" i="7"/>
  <c r="N273" i="7" s="1"/>
  <c r="N285" i="7"/>
  <c r="K292" i="7"/>
  <c r="N333" i="7"/>
  <c r="N125" i="7"/>
  <c r="N152" i="7"/>
  <c r="O152" i="7" s="1"/>
  <c r="N184" i="7"/>
  <c r="O184" i="7" s="1"/>
  <c r="M262" i="7"/>
  <c r="O262" i="7" s="1"/>
  <c r="N279" i="7"/>
  <c r="M279" i="7"/>
  <c r="K300" i="7"/>
  <c r="L300" i="7" s="1"/>
  <c r="N300" i="7" s="1"/>
  <c r="N325" i="7"/>
  <c r="N147" i="7"/>
  <c r="N114" i="7"/>
  <c r="K114" i="7"/>
  <c r="L114" i="7" s="1"/>
  <c r="N139" i="7"/>
  <c r="N162" i="7"/>
  <c r="K162" i="7"/>
  <c r="L162" i="7" s="1"/>
  <c r="M223" i="7"/>
  <c r="M245" i="7"/>
  <c r="N251" i="7"/>
  <c r="K9" i="7"/>
  <c r="L9" i="7" s="1"/>
  <c r="N9" i="7" s="1"/>
  <c r="K17" i="7"/>
  <c r="L17" i="7" s="1"/>
  <c r="N17" i="7" s="1"/>
  <c r="K25" i="7"/>
  <c r="L25" i="7" s="1"/>
  <c r="N25" i="7" s="1"/>
  <c r="K33" i="7"/>
  <c r="L33" i="7" s="1"/>
  <c r="N33" i="7" s="1"/>
  <c r="K41" i="7"/>
  <c r="L41" i="7" s="1"/>
  <c r="N41" i="7" s="1"/>
  <c r="K49" i="7"/>
  <c r="L49" i="7" s="1"/>
  <c r="N49" i="7" s="1"/>
  <c r="K57" i="7"/>
  <c r="L57" i="7" s="1"/>
  <c r="K65" i="7"/>
  <c r="L65" i="7" s="1"/>
  <c r="N65" i="7" s="1"/>
  <c r="K73" i="7"/>
  <c r="L73" i="7" s="1"/>
  <c r="N73" i="7" s="1"/>
  <c r="K81" i="7"/>
  <c r="L81" i="7" s="1"/>
  <c r="N81" i="7" s="1"/>
  <c r="K89" i="7"/>
  <c r="L89" i="7" s="1"/>
  <c r="K97" i="7"/>
  <c r="L97" i="7" s="1"/>
  <c r="N97" i="7" s="1"/>
  <c r="K105" i="7"/>
  <c r="L105" i="7" s="1"/>
  <c r="N105" i="7" s="1"/>
  <c r="N111" i="7"/>
  <c r="M114" i="7"/>
  <c r="K130" i="7"/>
  <c r="N135" i="7"/>
  <c r="M135" i="7"/>
  <c r="O135" i="7" s="1"/>
  <c r="L139" i="7"/>
  <c r="M139" i="7" s="1"/>
  <c r="L148" i="7"/>
  <c r="N148" i="7" s="1"/>
  <c r="N163" i="7"/>
  <c r="N168" i="7"/>
  <c r="M190" i="7"/>
  <c r="L212" i="7"/>
  <c r="M212" i="7" s="1"/>
  <c r="K223" i="7"/>
  <c r="L223" i="7" s="1"/>
  <c r="N223" i="7" s="1"/>
  <c r="O240" i="7"/>
  <c r="L268" i="7"/>
  <c r="M268" i="7" s="1"/>
  <c r="N293" i="7"/>
  <c r="N309" i="7"/>
  <c r="N335" i="7"/>
  <c r="M335" i="7"/>
  <c r="M205" i="7"/>
  <c r="M158" i="7"/>
  <c r="M163" i="7"/>
  <c r="O163" i="7" s="1"/>
  <c r="O168" i="7"/>
  <c r="N207" i="7"/>
  <c r="N327" i="7"/>
  <c r="M188" i="7"/>
  <c r="K4" i="7"/>
  <c r="L4" i="7" s="1"/>
  <c r="N4" i="7" s="1"/>
  <c r="M9" i="7"/>
  <c r="K12" i="7"/>
  <c r="L12" i="7" s="1"/>
  <c r="N12" i="7" s="1"/>
  <c r="M17" i="7"/>
  <c r="K20" i="7"/>
  <c r="L20" i="7" s="1"/>
  <c r="N20" i="7" s="1"/>
  <c r="M25" i="7"/>
  <c r="K28" i="7"/>
  <c r="L28" i="7" s="1"/>
  <c r="N28" i="7" s="1"/>
  <c r="M33" i="7"/>
  <c r="K36" i="7"/>
  <c r="L36" i="7" s="1"/>
  <c r="N36" i="7" s="1"/>
  <c r="M41" i="7"/>
  <c r="K44" i="7"/>
  <c r="L44" i="7" s="1"/>
  <c r="N44" i="7" s="1"/>
  <c r="M49" i="7"/>
  <c r="K52" i="7"/>
  <c r="L52" i="7" s="1"/>
  <c r="N52" i="7" s="1"/>
  <c r="M57" i="7"/>
  <c r="K60" i="7"/>
  <c r="L60" i="7" s="1"/>
  <c r="N60" i="7" s="1"/>
  <c r="K68" i="7"/>
  <c r="L68" i="7" s="1"/>
  <c r="N68" i="7" s="1"/>
  <c r="M73" i="7"/>
  <c r="K76" i="7"/>
  <c r="L76" i="7" s="1"/>
  <c r="N76" i="7" s="1"/>
  <c r="M81" i="7"/>
  <c r="K84" i="7"/>
  <c r="L84" i="7" s="1"/>
  <c r="N84" i="7" s="1"/>
  <c r="M89" i="7"/>
  <c r="O89" i="7" s="1"/>
  <c r="K92" i="7"/>
  <c r="L92" i="7" s="1"/>
  <c r="N92" i="7" s="1"/>
  <c r="K100" i="7"/>
  <c r="L100" i="7" s="1"/>
  <c r="N100" i="7" s="1"/>
  <c r="K108" i="7"/>
  <c r="L108" i="7" s="1"/>
  <c r="N108" i="7" s="1"/>
  <c r="L111" i="7"/>
  <c r="M111" i="7" s="1"/>
  <c r="O111" i="7" s="1"/>
  <c r="N115" i="7"/>
  <c r="K122" i="7"/>
  <c r="K140" i="7"/>
  <c r="L140" i="7" s="1"/>
  <c r="N140" i="7" s="1"/>
  <c r="N180" i="7"/>
  <c r="O180" i="7" s="1"/>
  <c r="L196" i="7"/>
  <c r="M196" i="7" s="1"/>
  <c r="K207" i="7"/>
  <c r="L207" i="7" s="1"/>
  <c r="O224" i="7"/>
  <c r="N246" i="7"/>
  <c r="O246" i="7" s="1"/>
  <c r="K252" i="7"/>
  <c r="L252" i="7" s="1"/>
  <c r="N252" i="7" s="1"/>
  <c r="M257" i="7"/>
  <c r="O257" i="7" s="1"/>
  <c r="N263" i="7"/>
  <c r="M263" i="7"/>
  <c r="O263" i="7" s="1"/>
  <c r="N269" i="7"/>
  <c r="L281" i="7"/>
  <c r="N281" i="7" s="1"/>
  <c r="N287" i="7"/>
  <c r="M287" i="7"/>
  <c r="M294" i="7"/>
  <c r="N319" i="7"/>
  <c r="M319" i="7"/>
  <c r="O319" i="7" s="1"/>
  <c r="K327" i="7"/>
  <c r="L327" i="7" s="1"/>
  <c r="M284" i="7"/>
  <c r="M127" i="7"/>
  <c r="L131" i="7"/>
  <c r="M131" i="7" s="1"/>
  <c r="O144" i="7"/>
  <c r="N191" i="7"/>
  <c r="M191" i="7"/>
  <c r="M213" i="7"/>
  <c r="N219" i="7"/>
  <c r="L337" i="7"/>
  <c r="N337" i="7" s="1"/>
  <c r="M115" i="7"/>
  <c r="O115" i="7" s="1"/>
  <c r="N119" i="7"/>
  <c r="M119" i="7"/>
  <c r="K127" i="7"/>
  <c r="L127" i="7" s="1"/>
  <c r="N127" i="7" s="1"/>
  <c r="N136" i="7"/>
  <c r="L149" i="7"/>
  <c r="N149" i="7" s="1"/>
  <c r="N159" i="7"/>
  <c r="M159" i="7"/>
  <c r="K191" i="7"/>
  <c r="L191" i="7" s="1"/>
  <c r="O208" i="7"/>
  <c r="N230" i="7"/>
  <c r="O230" i="7" s="1"/>
  <c r="K236" i="7"/>
  <c r="N247" i="7"/>
  <c r="M247" i="7"/>
  <c r="M252" i="7"/>
  <c r="N264" i="7"/>
  <c r="O264" i="7" s="1"/>
  <c r="M270" i="7"/>
  <c r="O270" i="7" s="1"/>
  <c r="N276" i="7"/>
  <c r="O276" i="7" s="1"/>
  <c r="N295" i="7"/>
  <c r="M295" i="7"/>
  <c r="N303" i="7"/>
  <c r="M303" i="7"/>
  <c r="O303" i="7" s="1"/>
  <c r="K311" i="7"/>
  <c r="L311" i="7" s="1"/>
  <c r="N311" i="7" s="1"/>
  <c r="M329" i="7"/>
  <c r="O329" i="7" s="1"/>
  <c r="L329" i="7"/>
  <c r="N329" i="7" s="1"/>
  <c r="N183" i="7"/>
  <c r="M183" i="7"/>
  <c r="N211" i="7"/>
  <c r="N228" i="7"/>
  <c r="N112" i="7"/>
  <c r="N123" i="7"/>
  <c r="N175" i="7"/>
  <c r="M175" i="7"/>
  <c r="O175" i="7" s="1"/>
  <c r="N192" i="7"/>
  <c r="O192" i="7" s="1"/>
  <c r="N220" i="7"/>
  <c r="N258" i="7"/>
  <c r="L321" i="7"/>
  <c r="N321" i="7" s="1"/>
  <c r="L123" i="7"/>
  <c r="M123" i="7" s="1"/>
  <c r="N141" i="7"/>
  <c r="N259" i="7"/>
  <c r="N338" i="7"/>
  <c r="M112" i="7"/>
  <c r="M141" i="7"/>
  <c r="O141" i="7" s="1"/>
  <c r="L141" i="7"/>
  <c r="M145" i="7"/>
  <c r="O145" i="7" s="1"/>
  <c r="N204" i="7"/>
  <c r="N237" i="7"/>
  <c r="N242" i="7"/>
  <c r="O248" i="7"/>
  <c r="M259" i="7"/>
  <c r="L265" i="7"/>
  <c r="N265" i="7" s="1"/>
  <c r="L305" i="7"/>
  <c r="N305" i="7" s="1"/>
  <c r="O136" i="7"/>
  <c r="M154" i="7"/>
  <c r="K154" i="7"/>
  <c r="L154" i="7" s="1"/>
  <c r="N154" i="7" s="1"/>
  <c r="N186" i="7"/>
  <c r="N231" i="7"/>
  <c r="M231" i="7"/>
  <c r="M253" i="7"/>
  <c r="M313" i="7"/>
  <c r="L313" i="7"/>
  <c r="N313" i="7" s="1"/>
  <c r="N120" i="7"/>
  <c r="O160" i="7"/>
  <c r="M165" i="7"/>
  <c r="N170" i="7"/>
  <c r="M170" i="7"/>
  <c r="K170" i="7"/>
  <c r="L170" i="7" s="1"/>
  <c r="O176" i="7"/>
  <c r="N198" i="7"/>
  <c r="O198" i="7" s="1"/>
  <c r="K204" i="7"/>
  <c r="L204" i="7" s="1"/>
  <c r="N215" i="7"/>
  <c r="M215" i="7"/>
  <c r="M220" i="7"/>
  <c r="N232" i="7"/>
  <c r="O232" i="7" s="1"/>
  <c r="M237" i="7"/>
  <c r="N243" i="7"/>
  <c r="N260" i="7"/>
  <c r="O260" i="7" s="1"/>
  <c r="N271" i="7"/>
  <c r="M271" i="7"/>
  <c r="N277" i="7"/>
  <c r="L297" i="7"/>
  <c r="N297" i="7" s="1"/>
  <c r="N331" i="7"/>
  <c r="K308" i="7"/>
  <c r="K316" i="7"/>
  <c r="K324" i="7"/>
  <c r="K332" i="7"/>
  <c r="K178" i="7"/>
  <c r="L178" i="7" s="1"/>
  <c r="N178" i="7" s="1"/>
  <c r="K186" i="7"/>
  <c r="L186" i="7" s="1"/>
  <c r="K194" i="7"/>
  <c r="L194" i="7" s="1"/>
  <c r="N194" i="7" s="1"/>
  <c r="K202" i="7"/>
  <c r="L202" i="7" s="1"/>
  <c r="N202" i="7" s="1"/>
  <c r="K210" i="7"/>
  <c r="L210" i="7" s="1"/>
  <c r="N210" i="7" s="1"/>
  <c r="K218" i="7"/>
  <c r="L218" i="7" s="1"/>
  <c r="N218" i="7" s="1"/>
  <c r="K226" i="7"/>
  <c r="L226" i="7" s="1"/>
  <c r="N226" i="7" s="1"/>
  <c r="K234" i="7"/>
  <c r="L234" i="7" s="1"/>
  <c r="N234" i="7" s="1"/>
  <c r="K242" i="7"/>
  <c r="L242" i="7" s="1"/>
  <c r="K250" i="7"/>
  <c r="L250" i="7" s="1"/>
  <c r="N250" i="7" s="1"/>
  <c r="K258" i="7"/>
  <c r="L258" i="7" s="1"/>
  <c r="K266" i="7"/>
  <c r="L266" i="7" s="1"/>
  <c r="N266" i="7" s="1"/>
  <c r="K274" i="7"/>
  <c r="L274" i="7" s="1"/>
  <c r="N274" i="7" s="1"/>
  <c r="K282" i="7"/>
  <c r="L282" i="7" s="1"/>
  <c r="N282" i="7" s="1"/>
  <c r="K290" i="7"/>
  <c r="L290" i="7" s="1"/>
  <c r="N290" i="7" s="1"/>
  <c r="K298" i="7"/>
  <c r="L298" i="7" s="1"/>
  <c r="N298" i="7" s="1"/>
  <c r="K306" i="7"/>
  <c r="L306" i="7" s="1"/>
  <c r="N306" i="7" s="1"/>
  <c r="K314" i="7"/>
  <c r="L314" i="7" s="1"/>
  <c r="N314" i="7" s="1"/>
  <c r="K322" i="7"/>
  <c r="L322" i="7" s="1"/>
  <c r="N322" i="7" s="1"/>
  <c r="K330" i="7"/>
  <c r="L330" i="7" s="1"/>
  <c r="N330" i="7" s="1"/>
  <c r="K338" i="7"/>
  <c r="L338" i="7" s="1"/>
  <c r="M178" i="7"/>
  <c r="M210" i="7"/>
  <c r="M226" i="7"/>
  <c r="M234" i="7"/>
  <c r="M242" i="7"/>
  <c r="M250" i="7"/>
  <c r="M258" i="7"/>
  <c r="M266" i="7"/>
  <c r="M306" i="7"/>
  <c r="M338" i="7"/>
  <c r="L157" i="7"/>
  <c r="N157" i="7" s="1"/>
  <c r="L165" i="7"/>
  <c r="N165" i="7" s="1"/>
  <c r="L173" i="7"/>
  <c r="N173" i="7" s="1"/>
  <c r="L181" i="7"/>
  <c r="M181" i="7" s="1"/>
  <c r="L189" i="7"/>
  <c r="N189" i="7" s="1"/>
  <c r="L197" i="7"/>
  <c r="N197" i="7" s="1"/>
  <c r="L205" i="7"/>
  <c r="N205" i="7" s="1"/>
  <c r="L213" i="7"/>
  <c r="N213" i="7" s="1"/>
  <c r="L221" i="7"/>
  <c r="N221" i="7" s="1"/>
  <c r="L229" i="7"/>
  <c r="M229" i="7" s="1"/>
  <c r="L237" i="7"/>
  <c r="L245" i="7"/>
  <c r="N245" i="7" s="1"/>
  <c r="L253" i="7"/>
  <c r="N253" i="7" s="1"/>
  <c r="L261" i="7"/>
  <c r="M261" i="7" s="1"/>
  <c r="M269" i="7"/>
  <c r="M277" i="7"/>
  <c r="K280" i="7"/>
  <c r="M285" i="7"/>
  <c r="K288" i="7"/>
  <c r="M293" i="7"/>
  <c r="K296" i="7"/>
  <c r="M301" i="7"/>
  <c r="O301" i="7" s="1"/>
  <c r="K304" i="7"/>
  <c r="M309" i="7"/>
  <c r="K312" i="7"/>
  <c r="M317" i="7"/>
  <c r="O317" i="7" s="1"/>
  <c r="K320" i="7"/>
  <c r="M325" i="7"/>
  <c r="K328" i="7"/>
  <c r="M333" i="7"/>
  <c r="K336" i="7"/>
  <c r="L155" i="7"/>
  <c r="M155" i="7" s="1"/>
  <c r="L163" i="7"/>
  <c r="L171" i="7"/>
  <c r="L179" i="7"/>
  <c r="N179" i="7" s="1"/>
  <c r="L187" i="7"/>
  <c r="M187" i="7" s="1"/>
  <c r="L195" i="7"/>
  <c r="N195" i="7" s="1"/>
  <c r="L203" i="7"/>
  <c r="N203" i="7" s="1"/>
  <c r="L211" i="7"/>
  <c r="L219" i="7"/>
  <c r="M219" i="7" s="1"/>
  <c r="L227" i="7"/>
  <c r="M227" i="7" s="1"/>
  <c r="L235" i="7"/>
  <c r="M235" i="7" s="1"/>
  <c r="L243" i="7"/>
  <c r="M243" i="7" s="1"/>
  <c r="O243" i="7" s="1"/>
  <c r="L251" i="7"/>
  <c r="M251" i="7" s="1"/>
  <c r="O251" i="7" s="1"/>
  <c r="L259" i="7"/>
  <c r="L267" i="7"/>
  <c r="N267" i="7" s="1"/>
  <c r="L275" i="7"/>
  <c r="N275" i="7" s="1"/>
  <c r="L283" i="7"/>
  <c r="N283" i="7" s="1"/>
  <c r="K286" i="7"/>
  <c r="L286" i="7" s="1"/>
  <c r="N286" i="7" s="1"/>
  <c r="M291" i="7"/>
  <c r="O291" i="7" s="1"/>
  <c r="K294" i="7"/>
  <c r="L294" i="7" s="1"/>
  <c r="N294" i="7" s="1"/>
  <c r="M299" i="7"/>
  <c r="O299" i="7" s="1"/>
  <c r="K302" i="7"/>
  <c r="L302" i="7" s="1"/>
  <c r="N302" i="7" s="1"/>
  <c r="M307" i="7"/>
  <c r="K310" i="7"/>
  <c r="L310" i="7" s="1"/>
  <c r="N310" i="7" s="1"/>
  <c r="M315" i="7"/>
  <c r="O315" i="7" s="1"/>
  <c r="K318" i="7"/>
  <c r="L318" i="7" s="1"/>
  <c r="N318" i="7" s="1"/>
  <c r="M323" i="7"/>
  <c r="O323" i="7" s="1"/>
  <c r="K326" i="7"/>
  <c r="L326" i="7" s="1"/>
  <c r="N326" i="7" s="1"/>
  <c r="M331" i="7"/>
  <c r="O331" i="7" s="1"/>
  <c r="K334" i="7"/>
  <c r="L334" i="7" s="1"/>
  <c r="N334" i="7" s="1"/>
  <c r="M339" i="7"/>
  <c r="O339" i="7" s="1"/>
  <c r="L126" i="7"/>
  <c r="N126" i="7" s="1"/>
  <c r="L134" i="7"/>
  <c r="N134" i="7" s="1"/>
  <c r="L142" i="7"/>
  <c r="N142" i="7" s="1"/>
  <c r="L150" i="7"/>
  <c r="N150" i="7" s="1"/>
  <c r="L158" i="7"/>
  <c r="N158" i="7" s="1"/>
  <c r="L166" i="7"/>
  <c r="N166" i="7" s="1"/>
  <c r="L174" i="7"/>
  <c r="N174" i="7" s="1"/>
  <c r="L182" i="7"/>
  <c r="N182" i="7" s="1"/>
  <c r="L190" i="7"/>
  <c r="N190" i="7" s="1"/>
  <c r="L254" i="7"/>
  <c r="N254" i="7" s="1"/>
  <c r="N93" i="5"/>
  <c r="N5" i="5"/>
  <c r="N37" i="5"/>
  <c r="M204" i="5"/>
  <c r="M85" i="5"/>
  <c r="O85" i="5" s="1"/>
  <c r="L204" i="5"/>
  <c r="N204" i="5"/>
  <c r="K13" i="5"/>
  <c r="L13" i="5" s="1"/>
  <c r="N13" i="5" s="1"/>
  <c r="K5" i="5"/>
  <c r="L5" i="5" s="1"/>
  <c r="M13" i="5"/>
  <c r="K69" i="5"/>
  <c r="L69" i="5" s="1"/>
  <c r="N69" i="5" s="1"/>
  <c r="K61" i="5"/>
  <c r="L61" i="5" s="1"/>
  <c r="N61" i="5" s="1"/>
  <c r="K37" i="5"/>
  <c r="L37" i="5" s="1"/>
  <c r="M53" i="5"/>
  <c r="O53" i="5" s="1"/>
  <c r="M109" i="5"/>
  <c r="N45" i="5"/>
  <c r="N109" i="5"/>
  <c r="L244" i="5"/>
  <c r="N244" i="5" s="1"/>
  <c r="N305" i="5"/>
  <c r="K45" i="5"/>
  <c r="L45" i="5" s="1"/>
  <c r="L236" i="5"/>
  <c r="N236" i="5" s="1"/>
  <c r="M37" i="5"/>
  <c r="M212" i="5"/>
  <c r="K93" i="5"/>
  <c r="L93" i="5" s="1"/>
  <c r="L212" i="5"/>
  <c r="N212" i="5" s="1"/>
  <c r="M64" i="5"/>
  <c r="N64" i="5"/>
  <c r="M175" i="5"/>
  <c r="N175" i="5"/>
  <c r="L80" i="5"/>
  <c r="N80" i="5" s="1"/>
  <c r="L88" i="5"/>
  <c r="N88" i="5" s="1"/>
  <c r="M25" i="5"/>
  <c r="M33" i="5"/>
  <c r="M220" i="5"/>
  <c r="O220" i="5" s="1"/>
  <c r="M40" i="5"/>
  <c r="O40" i="5" s="1"/>
  <c r="M17" i="5"/>
  <c r="O17" i="5" s="1"/>
  <c r="M81" i="5"/>
  <c r="M19" i="5"/>
  <c r="O19" i="5" s="1"/>
  <c r="M59" i="5"/>
  <c r="O59" i="5" s="1"/>
  <c r="M26" i="5"/>
  <c r="L147" i="5"/>
  <c r="N147" i="5" s="1"/>
  <c r="M8" i="5"/>
  <c r="O8" i="5" s="1"/>
  <c r="L179" i="5"/>
  <c r="N179" i="5" s="1"/>
  <c r="O37" i="5"/>
  <c r="N77" i="5"/>
  <c r="O77" i="5" s="1"/>
  <c r="M151" i="5"/>
  <c r="O151" i="5" s="1"/>
  <c r="M21" i="5"/>
  <c r="O21" i="5" s="1"/>
  <c r="M172" i="5"/>
  <c r="O172" i="5" s="1"/>
  <c r="M104" i="5"/>
  <c r="O104" i="5" s="1"/>
  <c r="N329" i="5"/>
  <c r="N321" i="5"/>
  <c r="N337" i="5"/>
  <c r="N119" i="5"/>
  <c r="N96" i="5"/>
  <c r="M96" i="5"/>
  <c r="M24" i="5"/>
  <c r="N24" i="5"/>
  <c r="K129" i="5"/>
  <c r="L129" i="5" s="1"/>
  <c r="N129" i="5" s="1"/>
  <c r="K139" i="5"/>
  <c r="L139" i="5" s="1"/>
  <c r="N139" i="5" s="1"/>
  <c r="K211" i="5"/>
  <c r="L211" i="5" s="1"/>
  <c r="N211" i="5" s="1"/>
  <c r="K3" i="5"/>
  <c r="L3" i="5" s="1"/>
  <c r="N3" i="5" s="1"/>
  <c r="K10" i="5"/>
  <c r="K35" i="5"/>
  <c r="L35" i="5" s="1"/>
  <c r="N35" i="5" s="1"/>
  <c r="K42" i="5"/>
  <c r="M49" i="5"/>
  <c r="O49" i="5" s="1"/>
  <c r="L68" i="5"/>
  <c r="N68" i="5" s="1"/>
  <c r="M83" i="5"/>
  <c r="O83" i="5" s="1"/>
  <c r="K87" i="5"/>
  <c r="K91" i="5"/>
  <c r="L91" i="5" s="1"/>
  <c r="N91" i="5" s="1"/>
  <c r="N102" i="5"/>
  <c r="M102" i="5"/>
  <c r="N106" i="5"/>
  <c r="M106" i="5"/>
  <c r="M113" i="5"/>
  <c r="O113" i="5" s="1"/>
  <c r="K119" i="5"/>
  <c r="L119" i="5" s="1"/>
  <c r="M124" i="5"/>
  <c r="O124" i="5" s="1"/>
  <c r="K150" i="5"/>
  <c r="L150" i="5" s="1"/>
  <c r="N150" i="5" s="1"/>
  <c r="M155" i="5"/>
  <c r="O155" i="5" s="1"/>
  <c r="K165" i="5"/>
  <c r="L165" i="5" s="1"/>
  <c r="N165" i="5" s="1"/>
  <c r="M191" i="5"/>
  <c r="O191" i="5" s="1"/>
  <c r="N247" i="5"/>
  <c r="M247" i="5"/>
  <c r="M270" i="5"/>
  <c r="O270" i="5" s="1"/>
  <c r="K332" i="5"/>
  <c r="L332" i="5" s="1"/>
  <c r="N332" i="5" s="1"/>
  <c r="K140" i="5"/>
  <c r="L140" i="5" s="1"/>
  <c r="N140" i="5" s="1"/>
  <c r="K218" i="5"/>
  <c r="L218" i="5" s="1"/>
  <c r="N218" i="5" s="1"/>
  <c r="K254" i="5"/>
  <c r="L254" i="5" s="1"/>
  <c r="N254" i="5" s="1"/>
  <c r="K302" i="5"/>
  <c r="L302" i="5" s="1"/>
  <c r="N302" i="5" s="1"/>
  <c r="K7" i="5"/>
  <c r="L7" i="5" s="1"/>
  <c r="N7" i="5" s="1"/>
  <c r="N14" i="5"/>
  <c r="M14" i="5"/>
  <c r="K39" i="5"/>
  <c r="L39" i="5" s="1"/>
  <c r="N39" i="5" s="1"/>
  <c r="N46" i="5"/>
  <c r="M46" i="5"/>
  <c r="N50" i="5"/>
  <c r="M50" i="5"/>
  <c r="M57" i="5"/>
  <c r="M72" i="5"/>
  <c r="O72" i="5" s="1"/>
  <c r="L76" i="5"/>
  <c r="N76" i="5" s="1"/>
  <c r="M91" i="5"/>
  <c r="K95" i="5"/>
  <c r="L95" i="5" s="1"/>
  <c r="N95" i="5" s="1"/>
  <c r="K99" i="5"/>
  <c r="L99" i="5" s="1"/>
  <c r="N99" i="5" s="1"/>
  <c r="N110" i="5"/>
  <c r="M110" i="5"/>
  <c r="M114" i="5"/>
  <c r="N114" i="5"/>
  <c r="M119" i="5"/>
  <c r="K125" i="5"/>
  <c r="L125" i="5" s="1"/>
  <c r="N125" i="5" s="1"/>
  <c r="K130" i="5"/>
  <c r="L130" i="5" s="1"/>
  <c r="N130" i="5" s="1"/>
  <c r="M135" i="5"/>
  <c r="M145" i="5"/>
  <c r="O145" i="5" s="1"/>
  <c r="K181" i="5"/>
  <c r="L181" i="5" s="1"/>
  <c r="N181" i="5" s="1"/>
  <c r="K219" i="5"/>
  <c r="L219" i="5" s="1"/>
  <c r="N219" i="5" s="1"/>
  <c r="K226" i="5"/>
  <c r="L226" i="5" s="1"/>
  <c r="N226" i="5" s="1"/>
  <c r="N255" i="5"/>
  <c r="M255" i="5"/>
  <c r="K262" i="5"/>
  <c r="L262" i="5" s="1"/>
  <c r="N262" i="5" s="1"/>
  <c r="M286" i="5"/>
  <c r="N286" i="5"/>
  <c r="K294" i="5"/>
  <c r="L294" i="5" s="1"/>
  <c r="K303" i="5"/>
  <c r="L303" i="5" s="1"/>
  <c r="N303" i="5" s="1"/>
  <c r="M28" i="5"/>
  <c r="O28" i="5" s="1"/>
  <c r="M140" i="5"/>
  <c r="K271" i="5"/>
  <c r="L271" i="5" s="1"/>
  <c r="N271" i="5" s="1"/>
  <c r="N294" i="5"/>
  <c r="K161" i="5"/>
  <c r="L161" i="5" s="1"/>
  <c r="N161" i="5" s="1"/>
  <c r="M187" i="5"/>
  <c r="K198" i="5"/>
  <c r="L198" i="5" s="1"/>
  <c r="N198" i="5" s="1"/>
  <c r="K227" i="5"/>
  <c r="L227" i="5" s="1"/>
  <c r="N227" i="5" s="1"/>
  <c r="M227" i="5"/>
  <c r="K11" i="5"/>
  <c r="L11" i="5" s="1"/>
  <c r="N11" i="5" s="1"/>
  <c r="L32" i="5"/>
  <c r="N32" i="5" s="1"/>
  <c r="K43" i="5"/>
  <c r="L43" i="5" s="1"/>
  <c r="N43" i="5" s="1"/>
  <c r="N54" i="5"/>
  <c r="M54" i="5"/>
  <c r="N58" i="5"/>
  <c r="M58" i="5"/>
  <c r="M65" i="5"/>
  <c r="L84" i="5"/>
  <c r="N84" i="5" s="1"/>
  <c r="K103" i="5"/>
  <c r="L103" i="5" s="1"/>
  <c r="N103" i="5" s="1"/>
  <c r="K107" i="5"/>
  <c r="L107" i="5" s="1"/>
  <c r="N107" i="5" s="1"/>
  <c r="K131" i="5"/>
  <c r="L131" i="5" s="1"/>
  <c r="N131" i="5" s="1"/>
  <c r="N135" i="5"/>
  <c r="M156" i="5"/>
  <c r="O156" i="5" s="1"/>
  <c r="K182" i="5"/>
  <c r="L182" i="5" s="1"/>
  <c r="N182" i="5" s="1"/>
  <c r="N187" i="5"/>
  <c r="N199" i="5"/>
  <c r="M199" i="5"/>
  <c r="K295" i="5"/>
  <c r="L295" i="5" s="1"/>
  <c r="N295" i="5" s="1"/>
  <c r="K326" i="5"/>
  <c r="L326" i="5" s="1"/>
  <c r="N326" i="5" s="1"/>
  <c r="K334" i="5"/>
  <c r="L334" i="5" s="1"/>
  <c r="N334" i="5" s="1"/>
  <c r="N18" i="5"/>
  <c r="M18" i="5"/>
  <c r="K167" i="5"/>
  <c r="L167" i="5" s="1"/>
  <c r="K206" i="5"/>
  <c r="L206" i="5" s="1"/>
  <c r="N206" i="5" s="1"/>
  <c r="K234" i="5"/>
  <c r="L234" i="5" s="1"/>
  <c r="N234" i="5" s="1"/>
  <c r="N279" i="5"/>
  <c r="M279" i="5"/>
  <c r="K279" i="5"/>
  <c r="L279" i="5" s="1"/>
  <c r="L4" i="5"/>
  <c r="N4" i="5" s="1"/>
  <c r="K15" i="5"/>
  <c r="N25" i="5"/>
  <c r="L36" i="5"/>
  <c r="N36" i="5" s="1"/>
  <c r="K47" i="5"/>
  <c r="K51" i="5"/>
  <c r="L51" i="5" s="1"/>
  <c r="N51" i="5" s="1"/>
  <c r="M73" i="5"/>
  <c r="L92" i="5"/>
  <c r="N92" i="5" s="1"/>
  <c r="K111" i="5"/>
  <c r="M115" i="5"/>
  <c r="O115" i="5" s="1"/>
  <c r="N167" i="5"/>
  <c r="K183" i="5"/>
  <c r="L183" i="5" s="1"/>
  <c r="N183" i="5" s="1"/>
  <c r="M188" i="5"/>
  <c r="K235" i="5"/>
  <c r="L235" i="5" s="1"/>
  <c r="N235" i="5" s="1"/>
  <c r="K242" i="5"/>
  <c r="L242" i="5" s="1"/>
  <c r="N242" i="5" s="1"/>
  <c r="N319" i="5"/>
  <c r="M319" i="5"/>
  <c r="K319" i="5"/>
  <c r="L319" i="5" s="1"/>
  <c r="K335" i="5"/>
  <c r="L335" i="5" s="1"/>
  <c r="N335" i="5" s="1"/>
  <c r="O25" i="5"/>
  <c r="N65" i="5"/>
  <c r="N146" i="5"/>
  <c r="M146" i="5"/>
  <c r="O146" i="5" s="1"/>
  <c r="K22" i="5"/>
  <c r="L22" i="5" s="1"/>
  <c r="N22" i="5" s="1"/>
  <c r="N26" i="5"/>
  <c r="M29" i="5"/>
  <c r="O29" i="5" s="1"/>
  <c r="K62" i="5"/>
  <c r="L62" i="5" s="1"/>
  <c r="N62" i="5" s="1"/>
  <c r="K66" i="5"/>
  <c r="L66" i="5" s="1"/>
  <c r="N66" i="5" s="1"/>
  <c r="N73" i="5"/>
  <c r="M100" i="5"/>
  <c r="O100" i="5" s="1"/>
  <c r="M121" i="5"/>
  <c r="O121" i="5" s="1"/>
  <c r="K142" i="5"/>
  <c r="L142" i="5" s="1"/>
  <c r="N142" i="5" s="1"/>
  <c r="K157" i="5"/>
  <c r="L157" i="5" s="1"/>
  <c r="N157" i="5" s="1"/>
  <c r="K162" i="5"/>
  <c r="L162" i="5" s="1"/>
  <c r="N162" i="5" s="1"/>
  <c r="M177" i="5"/>
  <c r="O177" i="5" s="1"/>
  <c r="N188" i="5"/>
  <c r="K207" i="5"/>
  <c r="L207" i="5" s="1"/>
  <c r="N207" i="5" s="1"/>
  <c r="M228" i="5"/>
  <c r="O228" i="5" s="1"/>
  <c r="K243" i="5"/>
  <c r="L243" i="5" s="1"/>
  <c r="N243" i="5" s="1"/>
  <c r="M243" i="5"/>
  <c r="N57" i="5"/>
  <c r="K55" i="5"/>
  <c r="L55" i="5" s="1"/>
  <c r="N55" i="5" s="1"/>
  <c r="N70" i="5"/>
  <c r="M70" i="5"/>
  <c r="N74" i="5"/>
  <c r="M74" i="5"/>
  <c r="O74" i="5" s="1"/>
  <c r="O81" i="5"/>
  <c r="N116" i="5"/>
  <c r="M116" i="5"/>
  <c r="N127" i="5"/>
  <c r="O127" i="5" s="1"/>
  <c r="M132" i="5"/>
  <c r="O132" i="5" s="1"/>
  <c r="K163" i="5"/>
  <c r="L163" i="5" s="1"/>
  <c r="N163" i="5" s="1"/>
  <c r="K189" i="5"/>
  <c r="L189" i="5" s="1"/>
  <c r="N189" i="5" s="1"/>
  <c r="N215" i="5"/>
  <c r="M215" i="5"/>
  <c r="K250" i="5"/>
  <c r="L250" i="5" s="1"/>
  <c r="N250" i="5" s="1"/>
  <c r="K306" i="5"/>
  <c r="L306" i="5" s="1"/>
  <c r="N306" i="5" s="1"/>
  <c r="K158" i="5"/>
  <c r="L158" i="5" s="1"/>
  <c r="N158" i="5" s="1"/>
  <c r="K178" i="5"/>
  <c r="L178" i="5" s="1"/>
  <c r="N178" i="5" s="1"/>
  <c r="K222" i="5"/>
  <c r="L222" i="5" s="1"/>
  <c r="N222" i="5" s="1"/>
  <c r="L12" i="5"/>
  <c r="N12" i="5" s="1"/>
  <c r="K23" i="5"/>
  <c r="N30" i="5"/>
  <c r="M30" i="5"/>
  <c r="N33" i="5"/>
  <c r="L44" i="5"/>
  <c r="N44" i="5" s="1"/>
  <c r="K63" i="5"/>
  <c r="K67" i="5"/>
  <c r="L67" i="5" s="1"/>
  <c r="N67" i="5" s="1"/>
  <c r="N78" i="5"/>
  <c r="M78" i="5"/>
  <c r="N82" i="5"/>
  <c r="M82" i="5"/>
  <c r="M89" i="5"/>
  <c r="O89" i="5" s="1"/>
  <c r="L108" i="5"/>
  <c r="N108" i="5" s="1"/>
  <c r="N148" i="5"/>
  <c r="M148" i="5"/>
  <c r="M153" i="5"/>
  <c r="O153" i="5" s="1"/>
  <c r="N223" i="5"/>
  <c r="M223" i="5"/>
  <c r="K251" i="5"/>
  <c r="L251" i="5" s="1"/>
  <c r="N251" i="5" s="1"/>
  <c r="M251" i="5"/>
  <c r="K258" i="5"/>
  <c r="L258" i="5" s="1"/>
  <c r="N258" i="5" s="1"/>
  <c r="K266" i="5"/>
  <c r="L266" i="5" s="1"/>
  <c r="N266" i="5" s="1"/>
  <c r="K298" i="5"/>
  <c r="L298" i="5" s="1"/>
  <c r="N298" i="5" s="1"/>
  <c r="K307" i="5"/>
  <c r="K169" i="5"/>
  <c r="L169" i="5" s="1"/>
  <c r="N169" i="5" s="1"/>
  <c r="K174" i="5"/>
  <c r="L174" i="5" s="1"/>
  <c r="N174" i="5" s="1"/>
  <c r="K259" i="5"/>
  <c r="L259" i="5" s="1"/>
  <c r="N259" i="5" s="1"/>
  <c r="K267" i="5"/>
  <c r="L267" i="5" s="1"/>
  <c r="N267" i="5" s="1"/>
  <c r="M282" i="5"/>
  <c r="K282" i="5"/>
  <c r="L282" i="5" s="1"/>
  <c r="N282" i="5" s="1"/>
  <c r="K2" i="5"/>
  <c r="L2" i="5" s="1"/>
  <c r="N2" i="5" s="1"/>
  <c r="L52" i="5"/>
  <c r="N52" i="5" s="1"/>
  <c r="K71" i="5"/>
  <c r="L71" i="5" s="1"/>
  <c r="N71" i="5" s="1"/>
  <c r="K75" i="5"/>
  <c r="L75" i="5" s="1"/>
  <c r="N75" i="5" s="1"/>
  <c r="M97" i="5"/>
  <c r="M112" i="5"/>
  <c r="O112" i="5" s="1"/>
  <c r="K117" i="5"/>
  <c r="L117" i="5" s="1"/>
  <c r="N117" i="5"/>
  <c r="L143" i="5"/>
  <c r="N143" i="5" s="1"/>
  <c r="M159" i="5"/>
  <c r="O159" i="5" s="1"/>
  <c r="L164" i="5"/>
  <c r="N164" i="5" s="1"/>
  <c r="M195" i="5"/>
  <c r="O195" i="5" s="1"/>
  <c r="M267" i="5"/>
  <c r="K283" i="5"/>
  <c r="L283" i="5" s="1"/>
  <c r="N283" i="5" s="1"/>
  <c r="K291" i="5"/>
  <c r="L291" i="5" s="1"/>
  <c r="N291" i="5" s="1"/>
  <c r="M291" i="5"/>
  <c r="K300" i="5"/>
  <c r="L300" i="5" s="1"/>
  <c r="N300" i="5" s="1"/>
  <c r="K322" i="5"/>
  <c r="L322" i="5" s="1"/>
  <c r="N322" i="5" s="1"/>
  <c r="K330" i="5"/>
  <c r="L330" i="5" s="1"/>
  <c r="N330" i="5" s="1"/>
  <c r="K86" i="5"/>
  <c r="L86" i="5" s="1"/>
  <c r="N86" i="5" s="1"/>
  <c r="K90" i="5"/>
  <c r="L90" i="5" s="1"/>
  <c r="M90" i="5" s="1"/>
  <c r="M101" i="5"/>
  <c r="O101" i="5" s="1"/>
  <c r="M123" i="5"/>
  <c r="K138" i="5"/>
  <c r="L138" i="5" s="1"/>
  <c r="N138" i="5" s="1"/>
  <c r="K149" i="5"/>
  <c r="L149" i="5" s="1"/>
  <c r="N149" i="5" s="1"/>
  <c r="M185" i="5"/>
  <c r="K202" i="5"/>
  <c r="L202" i="5" s="1"/>
  <c r="N202" i="5" s="1"/>
  <c r="N238" i="5"/>
  <c r="K238" i="5"/>
  <c r="L238" i="5" s="1"/>
  <c r="M252" i="5"/>
  <c r="O252" i="5" s="1"/>
  <c r="K268" i="5"/>
  <c r="L268" i="5" s="1"/>
  <c r="N268" i="5" s="1"/>
  <c r="K308" i="5"/>
  <c r="L308" i="5" s="1"/>
  <c r="N308" i="5" s="1"/>
  <c r="K323" i="5"/>
  <c r="L323" i="5" s="1"/>
  <c r="N323" i="5" s="1"/>
  <c r="K331" i="5"/>
  <c r="N34" i="5"/>
  <c r="L16" i="5"/>
  <c r="N16" i="5" s="1"/>
  <c r="K27" i="5"/>
  <c r="L27" i="5" s="1"/>
  <c r="N27" i="5" s="1"/>
  <c r="M48" i="5"/>
  <c r="O48" i="5" s="1"/>
  <c r="M2" i="5"/>
  <c r="M9" i="5"/>
  <c r="M34" i="5"/>
  <c r="M41" i="5"/>
  <c r="L56" i="5"/>
  <c r="N56" i="5" s="1"/>
  <c r="N97" i="5"/>
  <c r="K231" i="5"/>
  <c r="L231" i="5" s="1"/>
  <c r="N231" i="5" s="1"/>
  <c r="N6" i="5"/>
  <c r="M6" i="5"/>
  <c r="N9" i="5"/>
  <c r="L20" i="5"/>
  <c r="N20" i="5" s="1"/>
  <c r="K31" i="5"/>
  <c r="N38" i="5"/>
  <c r="M38" i="5"/>
  <c r="N41" i="5"/>
  <c r="L60" i="5"/>
  <c r="N60" i="5" s="1"/>
  <c r="K79" i="5"/>
  <c r="N94" i="5"/>
  <c r="M94" i="5"/>
  <c r="N98" i="5"/>
  <c r="M98" i="5"/>
  <c r="M105" i="5"/>
  <c r="O105" i="5" s="1"/>
  <c r="K118" i="5"/>
  <c r="L118" i="5" s="1"/>
  <c r="N118" i="5" s="1"/>
  <c r="N123" i="5"/>
  <c r="N180" i="5"/>
  <c r="M180" i="5"/>
  <c r="N185" i="5"/>
  <c r="K196" i="5"/>
  <c r="L196" i="5" s="1"/>
  <c r="N196" i="5" s="1"/>
  <c r="K203" i="5"/>
  <c r="L203" i="5" s="1"/>
  <c r="N203" i="5" s="1"/>
  <c r="K210" i="5"/>
  <c r="L210" i="5" s="1"/>
  <c r="N210" i="5" s="1"/>
  <c r="N239" i="5"/>
  <c r="M239" i="5"/>
  <c r="K276" i="5"/>
  <c r="L276" i="5" s="1"/>
  <c r="N276" i="5" s="1"/>
  <c r="M283" i="5"/>
  <c r="K292" i="5"/>
  <c r="L292" i="5" s="1"/>
  <c r="N292" i="5" s="1"/>
  <c r="N170" i="5"/>
  <c r="M170" i="5"/>
  <c r="K193" i="5"/>
  <c r="L193" i="5" s="1"/>
  <c r="N193" i="5" s="1"/>
  <c r="K197" i="5"/>
  <c r="L197" i="5" s="1"/>
  <c r="N197" i="5" s="1"/>
  <c r="M310" i="5"/>
  <c r="O310" i="5" s="1"/>
  <c r="M316" i="5"/>
  <c r="K316" i="5"/>
  <c r="L316" i="5" s="1"/>
  <c r="N316" i="5" s="1"/>
  <c r="M126" i="5"/>
  <c r="O126" i="5" s="1"/>
  <c r="K133" i="5"/>
  <c r="L133" i="5" s="1"/>
  <c r="N133" i="5" s="1"/>
  <c r="M190" i="5"/>
  <c r="O190" i="5" s="1"/>
  <c r="M214" i="5"/>
  <c r="M230" i="5"/>
  <c r="M246" i="5"/>
  <c r="K274" i="5"/>
  <c r="L274" i="5" s="1"/>
  <c r="N274" i="5" s="1"/>
  <c r="K299" i="5"/>
  <c r="L299" i="5" s="1"/>
  <c r="N299" i="5" s="1"/>
  <c r="K311" i="5"/>
  <c r="L311" i="5" s="1"/>
  <c r="N311" i="5" s="1"/>
  <c r="N122" i="5"/>
  <c r="K275" i="5"/>
  <c r="K287" i="5"/>
  <c r="L287" i="5" s="1"/>
  <c r="N287" i="5" s="1"/>
  <c r="K122" i="5"/>
  <c r="L122" i="5" s="1"/>
  <c r="M134" i="5"/>
  <c r="O134" i="5" s="1"/>
  <c r="M137" i="5"/>
  <c r="O137" i="5" s="1"/>
  <c r="K141" i="5"/>
  <c r="L141" i="5" s="1"/>
  <c r="N141" i="5" s="1"/>
  <c r="M171" i="5"/>
  <c r="O171" i="5" s="1"/>
  <c r="K186" i="5"/>
  <c r="L186" i="5" s="1"/>
  <c r="N186" i="5" s="1"/>
  <c r="K194" i="5"/>
  <c r="L194" i="5" s="1"/>
  <c r="N194" i="5" s="1"/>
  <c r="N214" i="5"/>
  <c r="N230" i="5"/>
  <c r="N246" i="5"/>
  <c r="K263" i="5"/>
  <c r="L263" i="5" s="1"/>
  <c r="N263" i="5" s="1"/>
  <c r="M318" i="5"/>
  <c r="O318" i="5" s="1"/>
  <c r="K324" i="5"/>
  <c r="L324" i="5" s="1"/>
  <c r="N324" i="5" s="1"/>
  <c r="K284" i="5"/>
  <c r="L284" i="5" s="1"/>
  <c r="N284" i="5" s="1"/>
  <c r="K314" i="5"/>
  <c r="L314" i="5" s="1"/>
  <c r="N314" i="5" s="1"/>
  <c r="K339" i="5"/>
  <c r="L339" i="5" s="1"/>
  <c r="N339" i="5" s="1"/>
  <c r="K154" i="5"/>
  <c r="L154" i="5" s="1"/>
  <c r="N154" i="5" s="1"/>
  <c r="M166" i="5"/>
  <c r="O166" i="5" s="1"/>
  <c r="K173" i="5"/>
  <c r="L173" i="5" s="1"/>
  <c r="N173" i="5" s="1"/>
  <c r="K260" i="5"/>
  <c r="L260" i="5" s="1"/>
  <c r="N260" i="5" s="1"/>
  <c r="K278" i="5"/>
  <c r="L278" i="5" s="1"/>
  <c r="N278" i="5" s="1"/>
  <c r="K290" i="5"/>
  <c r="L290" i="5" s="1"/>
  <c r="N290" i="5" s="1"/>
  <c r="K315" i="5"/>
  <c r="K327" i="5"/>
  <c r="L327" i="5" s="1"/>
  <c r="N327" i="5" s="1"/>
  <c r="M201" i="5"/>
  <c r="O201" i="5" s="1"/>
  <c r="M209" i="5"/>
  <c r="O209" i="5" s="1"/>
  <c r="M217" i="5"/>
  <c r="O217" i="5" s="1"/>
  <c r="M225" i="5"/>
  <c r="O225" i="5" s="1"/>
  <c r="M233" i="5"/>
  <c r="O233" i="5" s="1"/>
  <c r="M241" i="5"/>
  <c r="O241" i="5" s="1"/>
  <c r="M249" i="5"/>
  <c r="O249" i="5" s="1"/>
  <c r="M257" i="5"/>
  <c r="O257" i="5" s="1"/>
  <c r="M265" i="5"/>
  <c r="O265" i="5" s="1"/>
  <c r="M273" i="5"/>
  <c r="O273" i="5" s="1"/>
  <c r="M281" i="5"/>
  <c r="O281" i="5" s="1"/>
  <c r="M289" i="5"/>
  <c r="O289" i="5" s="1"/>
  <c r="M297" i="5"/>
  <c r="O297" i="5" s="1"/>
  <c r="M305" i="5"/>
  <c r="O305" i="5" s="1"/>
  <c r="M313" i="5"/>
  <c r="O313" i="5" s="1"/>
  <c r="M321" i="5"/>
  <c r="O321" i="5" s="1"/>
  <c r="M329" i="5"/>
  <c r="M337" i="5"/>
  <c r="K338" i="5"/>
  <c r="L338" i="5" s="1"/>
  <c r="N338" i="5" s="1"/>
  <c r="K205" i="5"/>
  <c r="L205" i="5" s="1"/>
  <c r="N205" i="5" s="1"/>
  <c r="K213" i="5"/>
  <c r="L213" i="5" s="1"/>
  <c r="N213" i="5" s="1"/>
  <c r="K221" i="5"/>
  <c r="L221" i="5" s="1"/>
  <c r="N221" i="5" s="1"/>
  <c r="K229" i="5"/>
  <c r="L229" i="5" s="1"/>
  <c r="N229" i="5" s="1"/>
  <c r="K237" i="5"/>
  <c r="L237" i="5" s="1"/>
  <c r="N237" i="5" s="1"/>
  <c r="K245" i="5"/>
  <c r="L245" i="5" s="1"/>
  <c r="N245" i="5" s="1"/>
  <c r="K253" i="5"/>
  <c r="L253" i="5" s="1"/>
  <c r="N253" i="5" s="1"/>
  <c r="K261" i="5"/>
  <c r="L261" i="5" s="1"/>
  <c r="N261" i="5" s="1"/>
  <c r="K269" i="5"/>
  <c r="L269" i="5" s="1"/>
  <c r="N269" i="5" s="1"/>
  <c r="K277" i="5"/>
  <c r="L277" i="5" s="1"/>
  <c r="N277" i="5" s="1"/>
  <c r="K285" i="5"/>
  <c r="L285" i="5" s="1"/>
  <c r="N285" i="5" s="1"/>
  <c r="K293" i="5"/>
  <c r="L293" i="5" s="1"/>
  <c r="N293" i="5" s="1"/>
  <c r="K301" i="5"/>
  <c r="L301" i="5" s="1"/>
  <c r="N301" i="5" s="1"/>
  <c r="K309" i="5"/>
  <c r="L309" i="5" s="1"/>
  <c r="N309" i="5" s="1"/>
  <c r="K317" i="5"/>
  <c r="L317" i="5" s="1"/>
  <c r="N317" i="5" s="1"/>
  <c r="K325" i="5"/>
  <c r="L325" i="5" s="1"/>
  <c r="N325" i="5" s="1"/>
  <c r="K333" i="5"/>
  <c r="L333" i="5" s="1"/>
  <c r="N333" i="5" s="1"/>
  <c r="K120" i="5"/>
  <c r="L120" i="5" s="1"/>
  <c r="N120" i="5" s="1"/>
  <c r="K128" i="5"/>
  <c r="L128" i="5" s="1"/>
  <c r="N128" i="5" s="1"/>
  <c r="K136" i="5"/>
  <c r="L136" i="5" s="1"/>
  <c r="N136" i="5" s="1"/>
  <c r="K144" i="5"/>
  <c r="L144" i="5" s="1"/>
  <c r="N144" i="5" s="1"/>
  <c r="K152" i="5"/>
  <c r="L152" i="5" s="1"/>
  <c r="N152" i="5" s="1"/>
  <c r="K160" i="5"/>
  <c r="L160" i="5" s="1"/>
  <c r="N160" i="5" s="1"/>
  <c r="K168" i="5"/>
  <c r="L168" i="5" s="1"/>
  <c r="N168" i="5" s="1"/>
  <c r="K176" i="5"/>
  <c r="L176" i="5" s="1"/>
  <c r="N176" i="5" s="1"/>
  <c r="K184" i="5"/>
  <c r="L184" i="5" s="1"/>
  <c r="N184" i="5" s="1"/>
  <c r="K192" i="5"/>
  <c r="L192" i="5" s="1"/>
  <c r="N192" i="5" s="1"/>
  <c r="K200" i="5"/>
  <c r="L200" i="5" s="1"/>
  <c r="N200" i="5" s="1"/>
  <c r="K208" i="5"/>
  <c r="L208" i="5" s="1"/>
  <c r="N208" i="5" s="1"/>
  <c r="K216" i="5"/>
  <c r="L216" i="5" s="1"/>
  <c r="N216" i="5" s="1"/>
  <c r="K224" i="5"/>
  <c r="L224" i="5" s="1"/>
  <c r="N224" i="5" s="1"/>
  <c r="K232" i="5"/>
  <c r="L232" i="5" s="1"/>
  <c r="N232" i="5" s="1"/>
  <c r="K240" i="5"/>
  <c r="L240" i="5" s="1"/>
  <c r="N240" i="5" s="1"/>
  <c r="K248" i="5"/>
  <c r="L248" i="5" s="1"/>
  <c r="N248" i="5" s="1"/>
  <c r="K256" i="5"/>
  <c r="L256" i="5" s="1"/>
  <c r="N256" i="5" s="1"/>
  <c r="K264" i="5"/>
  <c r="L264" i="5" s="1"/>
  <c r="N264" i="5" s="1"/>
  <c r="K272" i="5"/>
  <c r="L272" i="5" s="1"/>
  <c r="N272" i="5" s="1"/>
  <c r="K280" i="5"/>
  <c r="L280" i="5" s="1"/>
  <c r="N280" i="5" s="1"/>
  <c r="K288" i="5"/>
  <c r="L288" i="5" s="1"/>
  <c r="N288" i="5" s="1"/>
  <c r="K296" i="5"/>
  <c r="L296" i="5" s="1"/>
  <c r="N296" i="5" s="1"/>
  <c r="K304" i="5"/>
  <c r="L304" i="5" s="1"/>
  <c r="N304" i="5" s="1"/>
  <c r="K312" i="5"/>
  <c r="L312" i="5" s="1"/>
  <c r="N312" i="5" s="1"/>
  <c r="K320" i="5"/>
  <c r="L320" i="5" s="1"/>
  <c r="N320" i="5" s="1"/>
  <c r="K328" i="5"/>
  <c r="L328" i="5" s="1"/>
  <c r="N328" i="5" s="1"/>
  <c r="K336" i="5"/>
  <c r="L336" i="5" s="1"/>
  <c r="N336" i="5" s="1"/>
  <c r="M70" i="3"/>
  <c r="O16" i="3"/>
  <c r="O64" i="3"/>
  <c r="O72" i="3"/>
  <c r="O8" i="3"/>
  <c r="M9" i="3"/>
  <c r="O9" i="3" s="1"/>
  <c r="L9" i="3"/>
  <c r="N9" i="3" s="1"/>
  <c r="M25" i="3"/>
  <c r="O25" i="3" s="1"/>
  <c r="L25" i="3"/>
  <c r="N25" i="3" s="1"/>
  <c r="L33" i="3"/>
  <c r="N33" i="3" s="1"/>
  <c r="L41" i="3"/>
  <c r="N41" i="3" s="1"/>
  <c r="L49" i="3"/>
  <c r="N49" i="3" s="1"/>
  <c r="L57" i="3"/>
  <c r="N57" i="3" s="1"/>
  <c r="M65" i="3"/>
  <c r="O65" i="3" s="1"/>
  <c r="L65" i="3"/>
  <c r="N65" i="3" s="1"/>
  <c r="L73" i="3"/>
  <c r="N73" i="3" s="1"/>
  <c r="M81" i="3"/>
  <c r="L81" i="3"/>
  <c r="N81" i="3" s="1"/>
  <c r="L89" i="3"/>
  <c r="N89" i="3" s="1"/>
  <c r="L97" i="3"/>
  <c r="N97" i="3" s="1"/>
  <c r="L105" i="3"/>
  <c r="N105" i="3" s="1"/>
  <c r="L17" i="3"/>
  <c r="N17" i="3" s="1"/>
  <c r="N2" i="3"/>
  <c r="N10" i="3"/>
  <c r="N18" i="3"/>
  <c r="O18" i="3" s="1"/>
  <c r="N26" i="3"/>
  <c r="O26" i="3" s="1"/>
  <c r="N34" i="3"/>
  <c r="O34" i="3" s="1"/>
  <c r="N42" i="3"/>
  <c r="O42" i="3" s="1"/>
  <c r="N50" i="3"/>
  <c r="O50" i="3" s="1"/>
  <c r="N58" i="3"/>
  <c r="O58" i="3" s="1"/>
  <c r="N66" i="3"/>
  <c r="N74" i="3"/>
  <c r="O74" i="3" s="1"/>
  <c r="N82" i="3"/>
  <c r="O82" i="3" s="1"/>
  <c r="N90" i="3"/>
  <c r="O90" i="3" s="1"/>
  <c r="N98" i="3"/>
  <c r="O98" i="3" s="1"/>
  <c r="N106" i="3"/>
  <c r="O106" i="3" s="1"/>
  <c r="O66" i="3"/>
  <c r="M5" i="3"/>
  <c r="M85" i="3"/>
  <c r="M173" i="3"/>
  <c r="K173" i="3"/>
  <c r="L173" i="3" s="1"/>
  <c r="N173" i="3" s="1"/>
  <c r="M194" i="3"/>
  <c r="M205" i="3"/>
  <c r="K205" i="3"/>
  <c r="L205" i="3" s="1"/>
  <c r="N205" i="3" s="1"/>
  <c r="M223" i="3"/>
  <c r="K223" i="3"/>
  <c r="L223" i="3" s="1"/>
  <c r="N223" i="3" s="1"/>
  <c r="N244" i="3"/>
  <c r="M244" i="3"/>
  <c r="K244" i="3"/>
  <c r="L244" i="3" s="1"/>
  <c r="N251" i="3"/>
  <c r="M251" i="3"/>
  <c r="L5" i="3"/>
  <c r="N5" i="3" s="1"/>
  <c r="L13" i="3"/>
  <c r="N13" i="3" s="1"/>
  <c r="L21" i="3"/>
  <c r="N21" i="3" s="1"/>
  <c r="L29" i="3"/>
  <c r="N29" i="3" s="1"/>
  <c r="L37" i="3"/>
  <c r="N37" i="3" s="1"/>
  <c r="L45" i="3"/>
  <c r="N45" i="3" s="1"/>
  <c r="L53" i="3"/>
  <c r="N53" i="3" s="1"/>
  <c r="L61" i="3"/>
  <c r="N61" i="3" s="1"/>
  <c r="L69" i="3"/>
  <c r="N69" i="3" s="1"/>
  <c r="L77" i="3"/>
  <c r="N77" i="3" s="1"/>
  <c r="L85" i="3"/>
  <c r="N85" i="3" s="1"/>
  <c r="L93" i="3"/>
  <c r="N93" i="3" s="1"/>
  <c r="L101" i="3"/>
  <c r="N101" i="3" s="1"/>
  <c r="L109" i="3"/>
  <c r="N109" i="3" s="1"/>
  <c r="L122" i="3"/>
  <c r="M122" i="3" s="1"/>
  <c r="M126" i="3"/>
  <c r="N133" i="3"/>
  <c r="O133" i="3" s="1"/>
  <c r="K145" i="3"/>
  <c r="L145" i="3" s="1"/>
  <c r="N145" i="3" s="1"/>
  <c r="N154" i="3"/>
  <c r="M163" i="3"/>
  <c r="O163" i="3" s="1"/>
  <c r="M168" i="3"/>
  <c r="O168" i="3" s="1"/>
  <c r="L194" i="3"/>
  <c r="N252" i="3"/>
  <c r="M252" i="3"/>
  <c r="K252" i="3"/>
  <c r="L252" i="3" s="1"/>
  <c r="N259" i="3"/>
  <c r="M259" i="3"/>
  <c r="N267" i="3"/>
  <c r="M267" i="3"/>
  <c r="N275" i="3"/>
  <c r="M275" i="3"/>
  <c r="N283" i="3"/>
  <c r="M283" i="3"/>
  <c r="N291" i="3"/>
  <c r="M291" i="3"/>
  <c r="N299" i="3"/>
  <c r="M299" i="3"/>
  <c r="N307" i="3"/>
  <c r="M307" i="3"/>
  <c r="O307" i="3" s="1"/>
  <c r="N315" i="3"/>
  <c r="M315" i="3"/>
  <c r="N323" i="3"/>
  <c r="M323" i="3"/>
  <c r="N331" i="3"/>
  <c r="M331" i="3"/>
  <c r="M10" i="3"/>
  <c r="M149" i="3"/>
  <c r="K149" i="3"/>
  <c r="L149" i="3" s="1"/>
  <c r="N149" i="3" s="1"/>
  <c r="M178" i="3"/>
  <c r="M189" i="3"/>
  <c r="K189" i="3"/>
  <c r="L189" i="3" s="1"/>
  <c r="N189" i="3" s="1"/>
  <c r="K137" i="3"/>
  <c r="L137" i="3" s="1"/>
  <c r="N137" i="3" s="1"/>
  <c r="K141" i="3"/>
  <c r="M150" i="3"/>
  <c r="O150" i="3" s="1"/>
  <c r="M154" i="3"/>
  <c r="M174" i="3"/>
  <c r="O174" i="3" s="1"/>
  <c r="M190" i="3"/>
  <c r="M206" i="3"/>
  <c r="O206" i="3" s="1"/>
  <c r="M238" i="3"/>
  <c r="O238" i="3" s="1"/>
  <c r="K260" i="3"/>
  <c r="L260" i="3" s="1"/>
  <c r="N260" i="3" s="1"/>
  <c r="K268" i="3"/>
  <c r="L268" i="3" s="1"/>
  <c r="N268" i="3" s="1"/>
  <c r="M276" i="3"/>
  <c r="K276" i="3"/>
  <c r="L276" i="3" s="1"/>
  <c r="N276" i="3" s="1"/>
  <c r="N284" i="3"/>
  <c r="K284" i="3"/>
  <c r="L284" i="3" s="1"/>
  <c r="N292" i="3"/>
  <c r="K292" i="3"/>
  <c r="L292" i="3" s="1"/>
  <c r="K300" i="3"/>
  <c r="L300" i="3" s="1"/>
  <c r="N300" i="3" s="1"/>
  <c r="K308" i="3"/>
  <c r="L308" i="3" s="1"/>
  <c r="N308" i="3" s="1"/>
  <c r="K316" i="3"/>
  <c r="L316" i="3" s="1"/>
  <c r="N316" i="3" s="1"/>
  <c r="N324" i="3"/>
  <c r="M324" i="3"/>
  <c r="K324" i="3"/>
  <c r="L324" i="3" s="1"/>
  <c r="N332" i="3"/>
  <c r="K332" i="3"/>
  <c r="L332" i="3" s="1"/>
  <c r="M164" i="3"/>
  <c r="K164" i="3"/>
  <c r="L164" i="3" s="1"/>
  <c r="N164" i="3" s="1"/>
  <c r="K169" i="3"/>
  <c r="L169" i="3" s="1"/>
  <c r="K212" i="3"/>
  <c r="L212" i="3" s="1"/>
  <c r="N212" i="3" s="1"/>
  <c r="K231" i="3"/>
  <c r="L231" i="3" s="1"/>
  <c r="N231" i="3" s="1"/>
  <c r="K3" i="3"/>
  <c r="L3" i="3" s="1"/>
  <c r="N3" i="3" s="1"/>
  <c r="K11" i="3"/>
  <c r="L11" i="3" s="1"/>
  <c r="N11" i="3" s="1"/>
  <c r="K19" i="3"/>
  <c r="L19" i="3" s="1"/>
  <c r="N19" i="3" s="1"/>
  <c r="K27" i="3"/>
  <c r="L27" i="3" s="1"/>
  <c r="N27" i="3" s="1"/>
  <c r="K35" i="3"/>
  <c r="L35" i="3" s="1"/>
  <c r="N35" i="3" s="1"/>
  <c r="K43" i="3"/>
  <c r="L43" i="3" s="1"/>
  <c r="N43" i="3" s="1"/>
  <c r="K51" i="3"/>
  <c r="L51" i="3" s="1"/>
  <c r="N51" i="3" s="1"/>
  <c r="K59" i="3"/>
  <c r="L59" i="3" s="1"/>
  <c r="N59" i="3" s="1"/>
  <c r="K67" i="3"/>
  <c r="L67" i="3" s="1"/>
  <c r="N67" i="3" s="1"/>
  <c r="K75" i="3"/>
  <c r="L75" i="3" s="1"/>
  <c r="N75" i="3" s="1"/>
  <c r="K83" i="3"/>
  <c r="L83" i="3" s="1"/>
  <c r="N83" i="3" s="1"/>
  <c r="K91" i="3"/>
  <c r="L91" i="3" s="1"/>
  <c r="M91" i="3" s="1"/>
  <c r="K99" i="3"/>
  <c r="L99" i="3" s="1"/>
  <c r="N99" i="3" s="1"/>
  <c r="K107" i="3"/>
  <c r="L107" i="3" s="1"/>
  <c r="N107" i="3" s="1"/>
  <c r="N126" i="3"/>
  <c r="N159" i="3"/>
  <c r="O159" i="3" s="1"/>
  <c r="M179" i="3"/>
  <c r="M195" i="3"/>
  <c r="O195" i="3" s="1"/>
  <c r="M254" i="3"/>
  <c r="O254" i="3" s="1"/>
  <c r="N269" i="3"/>
  <c r="K116" i="3"/>
  <c r="L116" i="3" s="1"/>
  <c r="N116" i="3" s="1"/>
  <c r="M142" i="3"/>
  <c r="N169" i="3"/>
  <c r="K180" i="3"/>
  <c r="L180" i="3" s="1"/>
  <c r="N180" i="3" s="1"/>
  <c r="M196" i="3"/>
  <c r="K196" i="3"/>
  <c r="L196" i="3" s="1"/>
  <c r="N196" i="3" s="1"/>
  <c r="K207" i="3"/>
  <c r="L207" i="3" s="1"/>
  <c r="N207" i="3" s="1"/>
  <c r="N232" i="3"/>
  <c r="M232" i="3"/>
  <c r="O232" i="3" s="1"/>
  <c r="K239" i="3"/>
  <c r="L239" i="3" s="1"/>
  <c r="N239" i="3" s="1"/>
  <c r="M262" i="3"/>
  <c r="O262" i="3" s="1"/>
  <c r="M270" i="3"/>
  <c r="O270" i="3" s="1"/>
  <c r="M278" i="3"/>
  <c r="O278" i="3" s="1"/>
  <c r="M286" i="3"/>
  <c r="O286" i="3" s="1"/>
  <c r="M294" i="3"/>
  <c r="O294" i="3" s="1"/>
  <c r="M302" i="3"/>
  <c r="O302" i="3" s="1"/>
  <c r="M310" i="3"/>
  <c r="O310" i="3" s="1"/>
  <c r="M318" i="3"/>
  <c r="O318" i="3" s="1"/>
  <c r="M326" i="3"/>
  <c r="O326" i="3" s="1"/>
  <c r="M334" i="3"/>
  <c r="O334" i="3" s="1"/>
  <c r="K6" i="3"/>
  <c r="L6" i="3" s="1"/>
  <c r="N6" i="3" s="1"/>
  <c r="K14" i="3"/>
  <c r="L14" i="3" s="1"/>
  <c r="N14" i="3" s="1"/>
  <c r="M19" i="3"/>
  <c r="K22" i="3"/>
  <c r="L22" i="3" s="1"/>
  <c r="N22" i="3" s="1"/>
  <c r="K30" i="3"/>
  <c r="L30" i="3" s="1"/>
  <c r="N30" i="3" s="1"/>
  <c r="M35" i="3"/>
  <c r="K38" i="3"/>
  <c r="L38" i="3" s="1"/>
  <c r="N38" i="3" s="1"/>
  <c r="K46" i="3"/>
  <c r="L46" i="3" s="1"/>
  <c r="N46" i="3" s="1"/>
  <c r="M51" i="3"/>
  <c r="K54" i="3"/>
  <c r="L54" i="3" s="1"/>
  <c r="N54" i="3" s="1"/>
  <c r="K62" i="3"/>
  <c r="L62" i="3" s="1"/>
  <c r="N62" i="3" s="1"/>
  <c r="K70" i="3"/>
  <c r="L70" i="3" s="1"/>
  <c r="N70" i="3" s="1"/>
  <c r="M75" i="3"/>
  <c r="K78" i="3"/>
  <c r="L78" i="3" s="1"/>
  <c r="N78" i="3" s="1"/>
  <c r="K86" i="3"/>
  <c r="L86" i="3" s="1"/>
  <c r="N86" i="3" s="1"/>
  <c r="K94" i="3"/>
  <c r="L94" i="3" s="1"/>
  <c r="N94" i="3" s="1"/>
  <c r="M99" i="3"/>
  <c r="K102" i="3"/>
  <c r="L102" i="3" s="1"/>
  <c r="N102" i="3" s="1"/>
  <c r="K110" i="3"/>
  <c r="L110" i="3" s="1"/>
  <c r="N110" i="3" s="1"/>
  <c r="M113" i="3"/>
  <c r="O113" i="3" s="1"/>
  <c r="L123" i="3"/>
  <c r="N123" i="3" s="1"/>
  <c r="K127" i="3"/>
  <c r="L127" i="3" s="1"/>
  <c r="N127" i="3" s="1"/>
  <c r="K134" i="3"/>
  <c r="L134" i="3" s="1"/>
  <c r="N134" i="3" s="1"/>
  <c r="K142" i="3"/>
  <c r="L142" i="3" s="1"/>
  <c r="N142" i="3" s="1"/>
  <c r="L146" i="3"/>
  <c r="M146" i="3" s="1"/>
  <c r="L155" i="3"/>
  <c r="N155" i="3" s="1"/>
  <c r="M165" i="3"/>
  <c r="K165" i="3"/>
  <c r="L165" i="3" s="1"/>
  <c r="N165" i="3" s="1"/>
  <c r="M175" i="3"/>
  <c r="M191" i="3"/>
  <c r="O191" i="3" s="1"/>
  <c r="M247" i="3"/>
  <c r="K247" i="3"/>
  <c r="L247" i="3" s="1"/>
  <c r="N247" i="3" s="1"/>
  <c r="M116" i="3"/>
  <c r="M151" i="3"/>
  <c r="N175" i="3"/>
  <c r="N186" i="3"/>
  <c r="N191" i="3"/>
  <c r="N202" i="3"/>
  <c r="N240" i="3"/>
  <c r="M240" i="3"/>
  <c r="K255" i="3"/>
  <c r="L255" i="3" s="1"/>
  <c r="N255" i="3" s="1"/>
  <c r="M120" i="3"/>
  <c r="O120" i="3" s="1"/>
  <c r="L138" i="3"/>
  <c r="N138" i="3" s="1"/>
  <c r="N151" i="3"/>
  <c r="M166" i="3"/>
  <c r="O166" i="3" s="1"/>
  <c r="L170" i="3"/>
  <c r="M170" i="3" s="1"/>
  <c r="M181" i="3"/>
  <c r="K181" i="3"/>
  <c r="L181" i="3" s="1"/>
  <c r="N181" i="3" s="1"/>
  <c r="M186" i="3"/>
  <c r="O186" i="3" s="1"/>
  <c r="M197" i="3"/>
  <c r="K197" i="3"/>
  <c r="L197" i="3" s="1"/>
  <c r="N197" i="3" s="1"/>
  <c r="M202" i="3"/>
  <c r="M214" i="3"/>
  <c r="O214" i="3" s="1"/>
  <c r="M219" i="3"/>
  <c r="N248" i="3"/>
  <c r="M248" i="3"/>
  <c r="K263" i="3"/>
  <c r="L263" i="3" s="1"/>
  <c r="N263" i="3" s="1"/>
  <c r="M271" i="3"/>
  <c r="K271" i="3"/>
  <c r="L271" i="3" s="1"/>
  <c r="N271" i="3" s="1"/>
  <c r="K279" i="3"/>
  <c r="L279" i="3" s="1"/>
  <c r="N279" i="3" s="1"/>
  <c r="K287" i="3"/>
  <c r="L287" i="3" s="1"/>
  <c r="N287" i="3" s="1"/>
  <c r="N295" i="3"/>
  <c r="K295" i="3"/>
  <c r="L295" i="3" s="1"/>
  <c r="K303" i="3"/>
  <c r="L303" i="3" s="1"/>
  <c r="N303" i="3" s="1"/>
  <c r="K311" i="3"/>
  <c r="L311" i="3" s="1"/>
  <c r="N311" i="3" s="1"/>
  <c r="M319" i="3"/>
  <c r="K319" i="3"/>
  <c r="L319" i="3" s="1"/>
  <c r="N319" i="3" s="1"/>
  <c r="N327" i="3"/>
  <c r="K327" i="3"/>
  <c r="L327" i="3" s="1"/>
  <c r="N117" i="3"/>
  <c r="K124" i="3"/>
  <c r="L124" i="3" s="1"/>
  <c r="N124" i="3" s="1"/>
  <c r="K156" i="3"/>
  <c r="L156" i="3" s="1"/>
  <c r="N156" i="3" s="1"/>
  <c r="K161" i="3"/>
  <c r="L161" i="3" s="1"/>
  <c r="N161" i="3" s="1"/>
  <c r="M161" i="3"/>
  <c r="K220" i="3"/>
  <c r="L220" i="3" s="1"/>
  <c r="N220" i="3" s="1"/>
  <c r="N256" i="3"/>
  <c r="M256" i="3"/>
  <c r="L264" i="3"/>
  <c r="N264" i="3" s="1"/>
  <c r="M272" i="3"/>
  <c r="O272" i="3" s="1"/>
  <c r="L272" i="3"/>
  <c r="N272" i="3" s="1"/>
  <c r="M280" i="3"/>
  <c r="L280" i="3"/>
  <c r="N280" i="3" s="1"/>
  <c r="L288" i="3"/>
  <c r="N288" i="3" s="1"/>
  <c r="L296" i="3"/>
  <c r="N296" i="3" s="1"/>
  <c r="M304" i="3"/>
  <c r="O304" i="3" s="1"/>
  <c r="L304" i="3"/>
  <c r="N304" i="3" s="1"/>
  <c r="L312" i="3"/>
  <c r="N312" i="3" s="1"/>
  <c r="M320" i="3"/>
  <c r="L320" i="3"/>
  <c r="N320" i="3" s="1"/>
  <c r="L328" i="3"/>
  <c r="N328" i="3" s="1"/>
  <c r="L336" i="3"/>
  <c r="N336" i="3" s="1"/>
  <c r="M2" i="3"/>
  <c r="L4" i="3"/>
  <c r="N4" i="3" s="1"/>
  <c r="L12" i="3"/>
  <c r="N12" i="3" s="1"/>
  <c r="L20" i="3"/>
  <c r="N20" i="3" s="1"/>
  <c r="L28" i="3"/>
  <c r="N28" i="3" s="1"/>
  <c r="L36" i="3"/>
  <c r="N36" i="3" s="1"/>
  <c r="L44" i="3"/>
  <c r="N44" i="3" s="1"/>
  <c r="L52" i="3"/>
  <c r="N52" i="3" s="1"/>
  <c r="L60" i="3"/>
  <c r="N60" i="3" s="1"/>
  <c r="L68" i="3"/>
  <c r="N68" i="3" s="1"/>
  <c r="L76" i="3"/>
  <c r="N76" i="3" s="1"/>
  <c r="L84" i="3"/>
  <c r="N84" i="3" s="1"/>
  <c r="L92" i="3"/>
  <c r="N92" i="3" s="1"/>
  <c r="L100" i="3"/>
  <c r="N100" i="3" s="1"/>
  <c r="L108" i="3"/>
  <c r="N108" i="3" s="1"/>
  <c r="N114" i="3"/>
  <c r="O114" i="3" s="1"/>
  <c r="M117" i="3"/>
  <c r="K121" i="3"/>
  <c r="L121" i="3" s="1"/>
  <c r="N121" i="3" s="1"/>
  <c r="N143" i="3"/>
  <c r="O143" i="3" s="1"/>
  <c r="M152" i="3"/>
  <c r="O152" i="3" s="1"/>
  <c r="M171" i="3"/>
  <c r="O171" i="3" s="1"/>
  <c r="K215" i="3"/>
  <c r="N221" i="3"/>
  <c r="K157" i="3"/>
  <c r="L157" i="3" s="1"/>
  <c r="N157" i="3" s="1"/>
  <c r="N162" i="3"/>
  <c r="M118" i="3"/>
  <c r="O118" i="3" s="1"/>
  <c r="N125" i="3"/>
  <c r="K132" i="3"/>
  <c r="L132" i="3" s="1"/>
  <c r="N132" i="3" s="1"/>
  <c r="O139" i="3"/>
  <c r="K148" i="3"/>
  <c r="L148" i="3" s="1"/>
  <c r="N148" i="3" s="1"/>
  <c r="M162" i="3"/>
  <c r="O162" i="3" s="1"/>
  <c r="O167" i="3"/>
  <c r="K172" i="3"/>
  <c r="L172" i="3" s="1"/>
  <c r="N172" i="3" s="1"/>
  <c r="K188" i="3"/>
  <c r="L188" i="3" s="1"/>
  <c r="N188" i="3" s="1"/>
  <c r="K204" i="3"/>
  <c r="L204" i="3" s="1"/>
  <c r="N204" i="3" s="1"/>
  <c r="M222" i="3"/>
  <c r="O222" i="3" s="1"/>
  <c r="K228" i="3"/>
  <c r="L228" i="3" s="1"/>
  <c r="N228" i="3" s="1"/>
  <c r="K153" i="3"/>
  <c r="L153" i="3" s="1"/>
  <c r="N153" i="3" s="1"/>
  <c r="M153" i="3"/>
  <c r="O153" i="3" s="1"/>
  <c r="M158" i="3"/>
  <c r="O158" i="3" s="1"/>
  <c r="N122" i="3"/>
  <c r="M125" i="3"/>
  <c r="O125" i="3" s="1"/>
  <c r="K129" i="3"/>
  <c r="L129" i="3" s="1"/>
  <c r="N129" i="3" s="1"/>
  <c r="M129" i="3"/>
  <c r="O129" i="3" s="1"/>
  <c r="M136" i="3"/>
  <c r="O136" i="3" s="1"/>
  <c r="N140" i="3"/>
  <c r="K140" i="3"/>
  <c r="L140" i="3" s="1"/>
  <c r="N178" i="3"/>
  <c r="N183" i="3"/>
  <c r="O183" i="3" s="1"/>
  <c r="N194" i="3"/>
  <c r="N199" i="3"/>
  <c r="O199" i="3" s="1"/>
  <c r="L210" i="3"/>
  <c r="M210" i="3" s="1"/>
  <c r="M216" i="3"/>
  <c r="O216" i="3" s="1"/>
  <c r="K236" i="3"/>
  <c r="L236" i="3" s="1"/>
  <c r="N236" i="3" s="1"/>
  <c r="N243" i="3"/>
  <c r="M243" i="3"/>
  <c r="O243" i="3" s="1"/>
  <c r="M177" i="3"/>
  <c r="O177" i="3" s="1"/>
  <c r="M185" i="3"/>
  <c r="O185" i="3" s="1"/>
  <c r="M193" i="3"/>
  <c r="O193" i="3" s="1"/>
  <c r="M201" i="3"/>
  <c r="O201" i="3" s="1"/>
  <c r="M209" i="3"/>
  <c r="O209" i="3" s="1"/>
  <c r="M217" i="3"/>
  <c r="O217" i="3" s="1"/>
  <c r="M225" i="3"/>
  <c r="O225" i="3" s="1"/>
  <c r="M233" i="3"/>
  <c r="O233" i="3" s="1"/>
  <c r="M241" i="3"/>
  <c r="O241" i="3" s="1"/>
  <c r="M249" i="3"/>
  <c r="O249" i="3" s="1"/>
  <c r="M257" i="3"/>
  <c r="O257" i="3" s="1"/>
  <c r="M265" i="3"/>
  <c r="O265" i="3" s="1"/>
  <c r="M273" i="3"/>
  <c r="O273" i="3" s="1"/>
  <c r="M281" i="3"/>
  <c r="O281" i="3" s="1"/>
  <c r="M289" i="3"/>
  <c r="O289" i="3" s="1"/>
  <c r="M297" i="3"/>
  <c r="O297" i="3" s="1"/>
  <c r="M305" i="3"/>
  <c r="O305" i="3" s="1"/>
  <c r="M313" i="3"/>
  <c r="O313" i="3" s="1"/>
  <c r="M321" i="3"/>
  <c r="O321" i="3" s="1"/>
  <c r="M329" i="3"/>
  <c r="O329" i="3" s="1"/>
  <c r="M337" i="3"/>
  <c r="K335" i="3"/>
  <c r="L335" i="3" s="1"/>
  <c r="N335" i="3" s="1"/>
  <c r="L218" i="3"/>
  <c r="N218" i="3" s="1"/>
  <c r="L226" i="3"/>
  <c r="N226" i="3" s="1"/>
  <c r="L234" i="3"/>
  <c r="M234" i="3" s="1"/>
  <c r="L242" i="3"/>
  <c r="M242" i="3" s="1"/>
  <c r="L338" i="3"/>
  <c r="M338" i="3" s="1"/>
  <c r="K213" i="3"/>
  <c r="L213" i="3" s="1"/>
  <c r="N213" i="3" s="1"/>
  <c r="K221" i="3"/>
  <c r="L221" i="3" s="1"/>
  <c r="K229" i="3"/>
  <c r="L229" i="3" s="1"/>
  <c r="N229" i="3" s="1"/>
  <c r="K237" i="3"/>
  <c r="L237" i="3" s="1"/>
  <c r="N237" i="3" s="1"/>
  <c r="K245" i="3"/>
  <c r="L245" i="3" s="1"/>
  <c r="N245" i="3" s="1"/>
  <c r="K253" i="3"/>
  <c r="L253" i="3" s="1"/>
  <c r="N253" i="3" s="1"/>
  <c r="K261" i="3"/>
  <c r="L261" i="3" s="1"/>
  <c r="N261" i="3" s="1"/>
  <c r="K269" i="3"/>
  <c r="L269" i="3" s="1"/>
  <c r="K277" i="3"/>
  <c r="L277" i="3" s="1"/>
  <c r="N277" i="3" s="1"/>
  <c r="K285" i="3"/>
  <c r="L285" i="3" s="1"/>
  <c r="N285" i="3" s="1"/>
  <c r="K293" i="3"/>
  <c r="L293" i="3" s="1"/>
  <c r="N293" i="3" s="1"/>
  <c r="K301" i="3"/>
  <c r="L301" i="3" s="1"/>
  <c r="M301" i="3" s="1"/>
  <c r="K309" i="3"/>
  <c r="L309" i="3" s="1"/>
  <c r="N309" i="3" s="1"/>
  <c r="K317" i="3"/>
  <c r="L317" i="3" s="1"/>
  <c r="M317" i="3" s="1"/>
  <c r="K325" i="3"/>
  <c r="L325" i="3" s="1"/>
  <c r="N325" i="3" s="1"/>
  <c r="K333" i="3"/>
  <c r="L333" i="3" s="1"/>
  <c r="N333" i="3" s="1"/>
  <c r="M221" i="3"/>
  <c r="M253" i="3"/>
  <c r="M269" i="3"/>
  <c r="M277" i="3"/>
  <c r="M293" i="3"/>
  <c r="M309" i="3"/>
  <c r="L339" i="3"/>
  <c r="N339" i="3" s="1"/>
  <c r="N257" i="1"/>
  <c r="M143" i="1"/>
  <c r="O143" i="1" s="1"/>
  <c r="N225" i="1"/>
  <c r="M127" i="1"/>
  <c r="O127" i="1" s="1"/>
  <c r="N209" i="1"/>
  <c r="M111" i="1"/>
  <c r="N193" i="1"/>
  <c r="O257" i="1"/>
  <c r="O193" i="1"/>
  <c r="O129" i="1"/>
  <c r="M95" i="1"/>
  <c r="N177" i="1"/>
  <c r="O177" i="1" s="1"/>
  <c r="M335" i="1"/>
  <c r="O335" i="1" s="1"/>
  <c r="M79" i="1"/>
  <c r="O79" i="1" s="1"/>
  <c r="N161" i="1"/>
  <c r="O161" i="1" s="1"/>
  <c r="M319" i="1"/>
  <c r="O319" i="1" s="1"/>
  <c r="M63" i="1"/>
  <c r="N145" i="1"/>
  <c r="O145" i="1" s="1"/>
  <c r="M303" i="1"/>
  <c r="M47" i="1"/>
  <c r="O47" i="1" s="1"/>
  <c r="N129" i="1"/>
  <c r="M287" i="1"/>
  <c r="O287" i="1" s="1"/>
  <c r="M31" i="1"/>
  <c r="O31" i="1" s="1"/>
  <c r="N113" i="1"/>
  <c r="O113" i="1" s="1"/>
  <c r="M271" i="1"/>
  <c r="O271" i="1" s="1"/>
  <c r="M15" i="1"/>
  <c r="O15" i="1" s="1"/>
  <c r="N97" i="1"/>
  <c r="O97" i="1" s="1"/>
  <c r="M255" i="1"/>
  <c r="O255" i="1" s="1"/>
  <c r="N337" i="1"/>
  <c r="O337" i="1" s="1"/>
  <c r="N81" i="1"/>
  <c r="O81" i="1" s="1"/>
  <c r="M239" i="1"/>
  <c r="O239" i="1" s="1"/>
  <c r="N321" i="1"/>
  <c r="O321" i="1" s="1"/>
  <c r="N65" i="1"/>
  <c r="O65" i="1" s="1"/>
  <c r="M223" i="1"/>
  <c r="N305" i="1"/>
  <c r="O305" i="1" s="1"/>
  <c r="N49" i="1"/>
  <c r="O49" i="1" s="1"/>
  <c r="N232" i="1"/>
  <c r="N216" i="1"/>
  <c r="N200" i="1"/>
  <c r="N184" i="1"/>
  <c r="N168" i="1"/>
  <c r="N152" i="1"/>
  <c r="N136" i="1"/>
  <c r="N120" i="1"/>
  <c r="N104" i="1"/>
  <c r="N88" i="1"/>
  <c r="N72" i="1"/>
  <c r="N56" i="1"/>
  <c r="N40" i="1"/>
  <c r="N24" i="1"/>
  <c r="N8" i="1"/>
  <c r="M207" i="1"/>
  <c r="N289" i="1"/>
  <c r="O289" i="1" s="1"/>
  <c r="N33" i="1"/>
  <c r="O33" i="1" s="1"/>
  <c r="N231" i="1"/>
  <c r="N215" i="1"/>
  <c r="N199" i="1"/>
  <c r="N183" i="1"/>
  <c r="N167" i="1"/>
  <c r="N151" i="1"/>
  <c r="N135" i="1"/>
  <c r="N119" i="1"/>
  <c r="N103" i="1"/>
  <c r="N87" i="1"/>
  <c r="N71" i="1"/>
  <c r="N55" i="1"/>
  <c r="N39" i="1"/>
  <c r="N23" i="1"/>
  <c r="N7" i="1"/>
  <c r="M191" i="1"/>
  <c r="O191" i="1" s="1"/>
  <c r="N273" i="1"/>
  <c r="O273" i="1" s="1"/>
  <c r="N17" i="1"/>
  <c r="O17" i="1" s="1"/>
  <c r="N276" i="1"/>
  <c r="M276" i="1"/>
  <c r="N36" i="1"/>
  <c r="M36" i="1"/>
  <c r="K166" i="1"/>
  <c r="L166" i="1" s="1"/>
  <c r="N166" i="1" s="1"/>
  <c r="N326" i="1"/>
  <c r="N310" i="1"/>
  <c r="N294" i="1"/>
  <c r="N278" i="1"/>
  <c r="N262" i="1"/>
  <c r="N246" i="1"/>
  <c r="N230" i="1"/>
  <c r="N214" i="1"/>
  <c r="N198" i="1"/>
  <c r="N182" i="1"/>
  <c r="N196" i="1"/>
  <c r="M196" i="1"/>
  <c r="K102" i="1"/>
  <c r="L102" i="1" s="1"/>
  <c r="N102" i="1" s="1"/>
  <c r="O111" i="1"/>
  <c r="N324" i="1"/>
  <c r="M324" i="1"/>
  <c r="N148" i="1"/>
  <c r="M148" i="1"/>
  <c r="K86" i="1"/>
  <c r="L86" i="1" s="1"/>
  <c r="N86" i="1" s="1"/>
  <c r="O209" i="1"/>
  <c r="O95" i="1"/>
  <c r="N180" i="1"/>
  <c r="M180" i="1"/>
  <c r="K22" i="1"/>
  <c r="L22" i="1" s="1"/>
  <c r="N22" i="1" s="1"/>
  <c r="O225" i="1"/>
  <c r="N292" i="1"/>
  <c r="M292" i="1"/>
  <c r="N68" i="1"/>
  <c r="M68" i="1"/>
  <c r="K150" i="1"/>
  <c r="L150" i="1" s="1"/>
  <c r="N150" i="1" s="1"/>
  <c r="O63" i="1"/>
  <c r="N228" i="1"/>
  <c r="M228" i="1"/>
  <c r="N20" i="1"/>
  <c r="M20" i="1"/>
  <c r="O303" i="1"/>
  <c r="N116" i="1"/>
  <c r="M116" i="1"/>
  <c r="K6" i="1"/>
  <c r="L6" i="1" s="1"/>
  <c r="N6" i="1" s="1"/>
  <c r="N212" i="1"/>
  <c r="M212" i="1"/>
  <c r="N4" i="1"/>
  <c r="M4" i="1"/>
  <c r="O4" i="1" s="1"/>
  <c r="K70" i="1"/>
  <c r="L70" i="1" s="1"/>
  <c r="N70" i="1" s="1"/>
  <c r="N244" i="1"/>
  <c r="M244" i="1"/>
  <c r="N132" i="1"/>
  <c r="M132" i="1"/>
  <c r="O132" i="1" s="1"/>
  <c r="K38" i="1"/>
  <c r="L38" i="1" s="1"/>
  <c r="N38" i="1" s="1"/>
  <c r="N100" i="1"/>
  <c r="M100" i="1"/>
  <c r="K54" i="1"/>
  <c r="L54" i="1" s="1"/>
  <c r="N54" i="1" s="1"/>
  <c r="N2" i="1"/>
  <c r="M2" i="1"/>
  <c r="N164" i="1"/>
  <c r="M164" i="1"/>
  <c r="K134" i="1"/>
  <c r="L134" i="1" s="1"/>
  <c r="N134" i="1" s="1"/>
  <c r="O223" i="1"/>
  <c r="N260" i="1"/>
  <c r="M260" i="1"/>
  <c r="N52" i="1"/>
  <c r="M52" i="1"/>
  <c r="O207" i="1"/>
  <c r="N308" i="1"/>
  <c r="M308" i="1"/>
  <c r="N84" i="1"/>
  <c r="M84" i="1"/>
  <c r="K118" i="1"/>
  <c r="L118" i="1" s="1"/>
  <c r="N118" i="1" s="1"/>
  <c r="M334" i="1"/>
  <c r="O334" i="1" s="1"/>
  <c r="M318" i="1"/>
  <c r="O318" i="1" s="1"/>
  <c r="M302" i="1"/>
  <c r="O302" i="1" s="1"/>
  <c r="M286" i="1"/>
  <c r="O286" i="1" s="1"/>
  <c r="M270" i="1"/>
  <c r="O270" i="1" s="1"/>
  <c r="M254" i="1"/>
  <c r="O254" i="1" s="1"/>
  <c r="M238" i="1"/>
  <c r="O238" i="1" s="1"/>
  <c r="M222" i="1"/>
  <c r="O222" i="1" s="1"/>
  <c r="M206" i="1"/>
  <c r="O206" i="1" s="1"/>
  <c r="M190" i="1"/>
  <c r="O190" i="1" s="1"/>
  <c r="M174" i="1"/>
  <c r="O174" i="1" s="1"/>
  <c r="M158" i="1"/>
  <c r="O158" i="1" s="1"/>
  <c r="M142" i="1"/>
  <c r="O142" i="1" s="1"/>
  <c r="M126" i="1"/>
  <c r="O126" i="1" s="1"/>
  <c r="M110" i="1"/>
  <c r="O110" i="1" s="1"/>
  <c r="M94" i="1"/>
  <c r="O94" i="1" s="1"/>
  <c r="M78" i="1"/>
  <c r="O78" i="1" s="1"/>
  <c r="M62" i="1"/>
  <c r="O62" i="1" s="1"/>
  <c r="M46" i="1"/>
  <c r="O46" i="1" s="1"/>
  <c r="M30" i="1"/>
  <c r="O30" i="1" s="1"/>
  <c r="M14" i="1"/>
  <c r="O14" i="1" s="1"/>
  <c r="N336" i="1"/>
  <c r="O336" i="1" s="1"/>
  <c r="N320" i="1"/>
  <c r="O320" i="1" s="1"/>
  <c r="N304" i="1"/>
  <c r="O304" i="1" s="1"/>
  <c r="N288" i="1"/>
  <c r="O288" i="1" s="1"/>
  <c r="N272" i="1"/>
  <c r="O272" i="1" s="1"/>
  <c r="N256" i="1"/>
  <c r="O256" i="1" s="1"/>
  <c r="N240" i="1"/>
  <c r="O240" i="1" s="1"/>
  <c r="N224" i="1"/>
  <c r="O224" i="1" s="1"/>
  <c r="N208" i="1"/>
  <c r="O208" i="1" s="1"/>
  <c r="N192" i="1"/>
  <c r="O192" i="1" s="1"/>
  <c r="N176" i="1"/>
  <c r="O176" i="1" s="1"/>
  <c r="N160" i="1"/>
  <c r="O160" i="1" s="1"/>
  <c r="N144" i="1"/>
  <c r="O144" i="1" s="1"/>
  <c r="N128" i="1"/>
  <c r="O128" i="1" s="1"/>
  <c r="N112" i="1"/>
  <c r="O112" i="1" s="1"/>
  <c r="N96" i="1"/>
  <c r="O96" i="1" s="1"/>
  <c r="N80" i="1"/>
  <c r="O80" i="1" s="1"/>
  <c r="N64" i="1"/>
  <c r="O64" i="1" s="1"/>
  <c r="N48" i="1"/>
  <c r="O48" i="1" s="1"/>
  <c r="N32" i="1"/>
  <c r="O32" i="1" s="1"/>
  <c r="N16" i="1"/>
  <c r="O16" i="1" s="1"/>
  <c r="M333" i="1"/>
  <c r="O333" i="1" s="1"/>
  <c r="M317" i="1"/>
  <c r="O317" i="1" s="1"/>
  <c r="M301" i="1"/>
  <c r="O301" i="1" s="1"/>
  <c r="M285" i="1"/>
  <c r="O285" i="1" s="1"/>
  <c r="M269" i="1"/>
  <c r="O269" i="1" s="1"/>
  <c r="M253" i="1"/>
  <c r="O253" i="1" s="1"/>
  <c r="M237" i="1"/>
  <c r="O237" i="1" s="1"/>
  <c r="M221" i="1"/>
  <c r="M205" i="1"/>
  <c r="O205" i="1" s="1"/>
  <c r="M189" i="1"/>
  <c r="O189" i="1" s="1"/>
  <c r="M173" i="1"/>
  <c r="O173" i="1" s="1"/>
  <c r="M157" i="1"/>
  <c r="O157" i="1" s="1"/>
  <c r="M141" i="1"/>
  <c r="O141" i="1" s="1"/>
  <c r="M125" i="1"/>
  <c r="O125" i="1" s="1"/>
  <c r="M109" i="1"/>
  <c r="O109" i="1" s="1"/>
  <c r="M93" i="1"/>
  <c r="O93" i="1" s="1"/>
  <c r="M77" i="1"/>
  <c r="O77" i="1" s="1"/>
  <c r="M61" i="1"/>
  <c r="O61" i="1" s="1"/>
  <c r="M45" i="1"/>
  <c r="O45" i="1" s="1"/>
  <c r="M29" i="1"/>
  <c r="O29" i="1" s="1"/>
  <c r="M13" i="1"/>
  <c r="M332" i="1"/>
  <c r="O332" i="1" s="1"/>
  <c r="M316" i="1"/>
  <c r="O316" i="1" s="1"/>
  <c r="M300" i="1"/>
  <c r="O300" i="1" s="1"/>
  <c r="M284" i="1"/>
  <c r="O284" i="1" s="1"/>
  <c r="M268" i="1"/>
  <c r="O268" i="1" s="1"/>
  <c r="M252" i="1"/>
  <c r="O252" i="1" s="1"/>
  <c r="M236" i="1"/>
  <c r="O236" i="1" s="1"/>
  <c r="M220" i="1"/>
  <c r="O220" i="1" s="1"/>
  <c r="M204" i="1"/>
  <c r="O204" i="1" s="1"/>
  <c r="M188" i="1"/>
  <c r="O188" i="1" s="1"/>
  <c r="M172" i="1"/>
  <c r="O172" i="1" s="1"/>
  <c r="M156" i="1"/>
  <c r="O156" i="1" s="1"/>
  <c r="M140" i="1"/>
  <c r="O140" i="1" s="1"/>
  <c r="M124" i="1"/>
  <c r="O124" i="1" s="1"/>
  <c r="M108" i="1"/>
  <c r="O108" i="1" s="1"/>
  <c r="M92" i="1"/>
  <c r="O92" i="1" s="1"/>
  <c r="M76" i="1"/>
  <c r="O76" i="1" s="1"/>
  <c r="M60" i="1"/>
  <c r="O60" i="1" s="1"/>
  <c r="M44" i="1"/>
  <c r="O44" i="1" s="1"/>
  <c r="M28" i="1"/>
  <c r="O28" i="1" s="1"/>
  <c r="M12" i="1"/>
  <c r="O12" i="1" s="1"/>
  <c r="M331" i="1"/>
  <c r="O331" i="1" s="1"/>
  <c r="M315" i="1"/>
  <c r="O315" i="1" s="1"/>
  <c r="M299" i="1"/>
  <c r="O299" i="1" s="1"/>
  <c r="M283" i="1"/>
  <c r="O283" i="1" s="1"/>
  <c r="M267" i="1"/>
  <c r="O267" i="1" s="1"/>
  <c r="M251" i="1"/>
  <c r="O251" i="1" s="1"/>
  <c r="M235" i="1"/>
  <c r="M219" i="1"/>
  <c r="M203" i="1"/>
  <c r="O203" i="1" s="1"/>
  <c r="M187" i="1"/>
  <c r="M171" i="1"/>
  <c r="O171" i="1" s="1"/>
  <c r="M155" i="1"/>
  <c r="O155" i="1" s="1"/>
  <c r="M139" i="1"/>
  <c r="O139" i="1" s="1"/>
  <c r="M123" i="1"/>
  <c r="O123" i="1" s="1"/>
  <c r="M107" i="1"/>
  <c r="O107" i="1" s="1"/>
  <c r="M91" i="1"/>
  <c r="M75" i="1"/>
  <c r="M59" i="1"/>
  <c r="O59" i="1" s="1"/>
  <c r="M43" i="1"/>
  <c r="M27" i="1"/>
  <c r="O27" i="1" s="1"/>
  <c r="M11" i="1"/>
  <c r="O11" i="1" s="1"/>
  <c r="M330" i="1"/>
  <c r="O330" i="1" s="1"/>
  <c r="M314" i="1"/>
  <c r="O314" i="1" s="1"/>
  <c r="M298" i="1"/>
  <c r="O298" i="1" s="1"/>
  <c r="M282" i="1"/>
  <c r="O282" i="1" s="1"/>
  <c r="M266" i="1"/>
  <c r="O266" i="1" s="1"/>
  <c r="M250" i="1"/>
  <c r="O250" i="1" s="1"/>
  <c r="M234" i="1"/>
  <c r="O234" i="1" s="1"/>
  <c r="M218" i="1"/>
  <c r="O218" i="1" s="1"/>
  <c r="M202" i="1"/>
  <c r="O202" i="1" s="1"/>
  <c r="M186" i="1"/>
  <c r="O186" i="1" s="1"/>
  <c r="M170" i="1"/>
  <c r="O170" i="1" s="1"/>
  <c r="M154" i="1"/>
  <c r="O154" i="1" s="1"/>
  <c r="M138" i="1"/>
  <c r="O138" i="1" s="1"/>
  <c r="M122" i="1"/>
  <c r="O122" i="1" s="1"/>
  <c r="M106" i="1"/>
  <c r="O106" i="1" s="1"/>
  <c r="M90" i="1"/>
  <c r="O90" i="1" s="1"/>
  <c r="M74" i="1"/>
  <c r="O74" i="1" s="1"/>
  <c r="M58" i="1"/>
  <c r="O58" i="1" s="1"/>
  <c r="M42" i="1"/>
  <c r="O42" i="1" s="1"/>
  <c r="M26" i="1"/>
  <c r="O26" i="1" s="1"/>
  <c r="M10" i="1"/>
  <c r="O10" i="1" s="1"/>
  <c r="M329" i="1"/>
  <c r="O329" i="1" s="1"/>
  <c r="M313" i="1"/>
  <c r="O313" i="1" s="1"/>
  <c r="M297" i="1"/>
  <c r="O297" i="1" s="1"/>
  <c r="M281" i="1"/>
  <c r="O281" i="1" s="1"/>
  <c r="M265" i="1"/>
  <c r="O265" i="1" s="1"/>
  <c r="M249" i="1"/>
  <c r="O249" i="1" s="1"/>
  <c r="M233" i="1"/>
  <c r="O233" i="1" s="1"/>
  <c r="M217" i="1"/>
  <c r="O217" i="1" s="1"/>
  <c r="M201" i="1"/>
  <c r="O201" i="1" s="1"/>
  <c r="M185" i="1"/>
  <c r="O185" i="1" s="1"/>
  <c r="M169" i="1"/>
  <c r="O169" i="1" s="1"/>
  <c r="M153" i="1"/>
  <c r="O153" i="1" s="1"/>
  <c r="M137" i="1"/>
  <c r="O137" i="1" s="1"/>
  <c r="M121" i="1"/>
  <c r="O121" i="1" s="1"/>
  <c r="M105" i="1"/>
  <c r="O105" i="1" s="1"/>
  <c r="M89" i="1"/>
  <c r="O89" i="1" s="1"/>
  <c r="M73" i="1"/>
  <c r="O73" i="1" s="1"/>
  <c r="M57" i="1"/>
  <c r="O57" i="1" s="1"/>
  <c r="M41" i="1"/>
  <c r="O41" i="1" s="1"/>
  <c r="M25" i="1"/>
  <c r="O25" i="1" s="1"/>
  <c r="M9" i="1"/>
  <c r="O9" i="1" s="1"/>
  <c r="M328" i="1"/>
  <c r="O328" i="1" s="1"/>
  <c r="M312" i="1"/>
  <c r="O312" i="1" s="1"/>
  <c r="M296" i="1"/>
  <c r="O296" i="1" s="1"/>
  <c r="M280" i="1"/>
  <c r="O280" i="1" s="1"/>
  <c r="M264" i="1"/>
  <c r="O264" i="1" s="1"/>
  <c r="M248" i="1"/>
  <c r="O248" i="1" s="1"/>
  <c r="M232" i="1"/>
  <c r="O232" i="1" s="1"/>
  <c r="M216" i="1"/>
  <c r="M200" i="1"/>
  <c r="M184" i="1"/>
  <c r="M168" i="1"/>
  <c r="M152" i="1"/>
  <c r="O152" i="1" s="1"/>
  <c r="M136" i="1"/>
  <c r="O136" i="1" s="1"/>
  <c r="M120" i="1"/>
  <c r="O120" i="1" s="1"/>
  <c r="M104" i="1"/>
  <c r="O104" i="1" s="1"/>
  <c r="M88" i="1"/>
  <c r="O88" i="1" s="1"/>
  <c r="M72" i="1"/>
  <c r="O72" i="1" s="1"/>
  <c r="M56" i="1"/>
  <c r="O56" i="1" s="1"/>
  <c r="M40" i="1"/>
  <c r="O40" i="1" s="1"/>
  <c r="M24" i="1"/>
  <c r="O24" i="1" s="1"/>
  <c r="M8" i="1"/>
  <c r="O8" i="1" s="1"/>
  <c r="M327" i="1"/>
  <c r="O327" i="1" s="1"/>
  <c r="M311" i="1"/>
  <c r="O311" i="1" s="1"/>
  <c r="M295" i="1"/>
  <c r="O295" i="1" s="1"/>
  <c r="M279" i="1"/>
  <c r="O279" i="1" s="1"/>
  <c r="M263" i="1"/>
  <c r="O263" i="1" s="1"/>
  <c r="M247" i="1"/>
  <c r="O247" i="1" s="1"/>
  <c r="M231" i="1"/>
  <c r="M215" i="1"/>
  <c r="M199" i="1"/>
  <c r="M183" i="1"/>
  <c r="O183" i="1" s="1"/>
  <c r="M167" i="1"/>
  <c r="O167" i="1" s="1"/>
  <c r="M151" i="1"/>
  <c r="O151" i="1" s="1"/>
  <c r="M135" i="1"/>
  <c r="O135" i="1" s="1"/>
  <c r="M119" i="1"/>
  <c r="M103" i="1"/>
  <c r="M87" i="1"/>
  <c r="M71" i="1"/>
  <c r="O71" i="1" s="1"/>
  <c r="M55" i="1"/>
  <c r="O55" i="1" s="1"/>
  <c r="M39" i="1"/>
  <c r="O39" i="1" s="1"/>
  <c r="M23" i="1"/>
  <c r="M7" i="1"/>
  <c r="O7" i="1" s="1"/>
  <c r="M326" i="1"/>
  <c r="M310" i="1"/>
  <c r="O310" i="1" s="1"/>
  <c r="M294" i="1"/>
  <c r="M278" i="1"/>
  <c r="O278" i="1" s="1"/>
  <c r="M262" i="1"/>
  <c r="O262" i="1" s="1"/>
  <c r="M246" i="1"/>
  <c r="M230" i="1"/>
  <c r="M214" i="1"/>
  <c r="M198" i="1"/>
  <c r="M182" i="1"/>
  <c r="M325" i="1"/>
  <c r="O325" i="1" s="1"/>
  <c r="M309" i="1"/>
  <c r="O309" i="1" s="1"/>
  <c r="M293" i="1"/>
  <c r="O293" i="1" s="1"/>
  <c r="M277" i="1"/>
  <c r="O277" i="1" s="1"/>
  <c r="M261" i="1"/>
  <c r="O261" i="1" s="1"/>
  <c r="M245" i="1"/>
  <c r="O245" i="1" s="1"/>
  <c r="M229" i="1"/>
  <c r="O229" i="1" s="1"/>
  <c r="M213" i="1"/>
  <c r="O213" i="1" s="1"/>
  <c r="M197" i="1"/>
  <c r="O197" i="1" s="1"/>
  <c r="M181" i="1"/>
  <c r="O181" i="1" s="1"/>
  <c r="M165" i="1"/>
  <c r="O165" i="1" s="1"/>
  <c r="M149" i="1"/>
  <c r="O149" i="1" s="1"/>
  <c r="M133" i="1"/>
  <c r="O133" i="1" s="1"/>
  <c r="M117" i="1"/>
  <c r="O117" i="1" s="1"/>
  <c r="M101" i="1"/>
  <c r="O101" i="1" s="1"/>
  <c r="M85" i="1"/>
  <c r="O85" i="1" s="1"/>
  <c r="M69" i="1"/>
  <c r="O69" i="1" s="1"/>
  <c r="M53" i="1"/>
  <c r="O53" i="1" s="1"/>
  <c r="M37" i="1"/>
  <c r="O37" i="1" s="1"/>
  <c r="M21" i="1"/>
  <c r="O21" i="1" s="1"/>
  <c r="M5" i="1"/>
  <c r="O5" i="1" s="1"/>
  <c r="M339" i="1"/>
  <c r="O339" i="1" s="1"/>
  <c r="M323" i="1"/>
  <c r="O323" i="1" s="1"/>
  <c r="M307" i="1"/>
  <c r="O307" i="1" s="1"/>
  <c r="M291" i="1"/>
  <c r="O291" i="1" s="1"/>
  <c r="M275" i="1"/>
  <c r="O275" i="1" s="1"/>
  <c r="M259" i="1"/>
  <c r="O259" i="1" s="1"/>
  <c r="M243" i="1"/>
  <c r="O243" i="1" s="1"/>
  <c r="M227" i="1"/>
  <c r="O227" i="1" s="1"/>
  <c r="M211" i="1"/>
  <c r="O211" i="1" s="1"/>
  <c r="M195" i="1"/>
  <c r="O195" i="1" s="1"/>
  <c r="M179" i="1"/>
  <c r="O179" i="1" s="1"/>
  <c r="M163" i="1"/>
  <c r="O163" i="1" s="1"/>
  <c r="M147" i="1"/>
  <c r="O147" i="1" s="1"/>
  <c r="M131" i="1"/>
  <c r="O131" i="1" s="1"/>
  <c r="M115" i="1"/>
  <c r="O115" i="1" s="1"/>
  <c r="M99" i="1"/>
  <c r="O99" i="1" s="1"/>
  <c r="M83" i="1"/>
  <c r="O83" i="1" s="1"/>
  <c r="M67" i="1"/>
  <c r="O67" i="1" s="1"/>
  <c r="M51" i="1"/>
  <c r="O51" i="1" s="1"/>
  <c r="M35" i="1"/>
  <c r="O35" i="1" s="1"/>
  <c r="M19" i="1"/>
  <c r="O19" i="1" s="1"/>
  <c r="M3" i="1"/>
  <c r="O3" i="1" s="1"/>
  <c r="M338" i="1"/>
  <c r="O338" i="1" s="1"/>
  <c r="M322" i="1"/>
  <c r="O322" i="1" s="1"/>
  <c r="M306" i="1"/>
  <c r="O306" i="1" s="1"/>
  <c r="M290" i="1"/>
  <c r="O290" i="1" s="1"/>
  <c r="M274" i="1"/>
  <c r="O274" i="1" s="1"/>
  <c r="M258" i="1"/>
  <c r="O258" i="1" s="1"/>
  <c r="M242" i="1"/>
  <c r="O242" i="1" s="1"/>
  <c r="M226" i="1"/>
  <c r="O226" i="1" s="1"/>
  <c r="M210" i="1"/>
  <c r="O210" i="1" s="1"/>
  <c r="M194" i="1"/>
  <c r="O194" i="1" s="1"/>
  <c r="M178" i="1"/>
  <c r="O178" i="1" s="1"/>
  <c r="M162" i="1"/>
  <c r="O162" i="1" s="1"/>
  <c r="M146" i="1"/>
  <c r="O146" i="1" s="1"/>
  <c r="M130" i="1"/>
  <c r="O130" i="1" s="1"/>
  <c r="M114" i="1"/>
  <c r="O114" i="1" s="1"/>
  <c r="M98" i="1"/>
  <c r="O98" i="1" s="1"/>
  <c r="M82" i="1"/>
  <c r="O82" i="1" s="1"/>
  <c r="M66" i="1"/>
  <c r="O66" i="1" s="1"/>
  <c r="M50" i="1"/>
  <c r="O50" i="1" s="1"/>
  <c r="M34" i="1"/>
  <c r="O34" i="1" s="1"/>
  <c r="M18" i="1"/>
  <c r="O18" i="1" s="1"/>
  <c r="O247" i="7" l="1"/>
  <c r="O219" i="7"/>
  <c r="O309" i="7"/>
  <c r="O307" i="7"/>
  <c r="O103" i="7"/>
  <c r="O293" i="7"/>
  <c r="O16" i="7"/>
  <c r="O139" i="7"/>
  <c r="O177" i="7"/>
  <c r="O123" i="7"/>
  <c r="O277" i="7"/>
  <c r="O338" i="7"/>
  <c r="O114" i="7"/>
  <c r="O258" i="7"/>
  <c r="O95" i="7"/>
  <c r="O19" i="7"/>
  <c r="O212" i="5"/>
  <c r="O204" i="5"/>
  <c r="O34" i="5"/>
  <c r="O337" i="5"/>
  <c r="O33" i="5"/>
  <c r="O85" i="3"/>
  <c r="O179" i="3"/>
  <c r="O320" i="3"/>
  <c r="O219" i="3"/>
  <c r="O275" i="3"/>
  <c r="O331" i="3"/>
  <c r="O267" i="3"/>
  <c r="O81" i="3"/>
  <c r="O280" i="3"/>
  <c r="O190" i="3"/>
  <c r="O70" i="3"/>
  <c r="O324" i="3"/>
  <c r="O112" i="3"/>
  <c r="O221" i="1"/>
  <c r="O215" i="1"/>
  <c r="O231" i="1"/>
  <c r="O13" i="1"/>
  <c r="O168" i="1"/>
  <c r="O187" i="1"/>
  <c r="O184" i="1"/>
  <c r="O308" i="1"/>
  <c r="O219" i="1"/>
  <c r="O200" i="1"/>
  <c r="O216" i="1"/>
  <c r="O235" i="1"/>
  <c r="O244" i="1"/>
  <c r="O182" i="1"/>
  <c r="O103" i="1"/>
  <c r="O231" i="7"/>
  <c r="O190" i="7"/>
  <c r="O272" i="7"/>
  <c r="O161" i="7"/>
  <c r="O43" i="7"/>
  <c r="O220" i="7"/>
  <c r="O215" i="7"/>
  <c r="O51" i="7"/>
  <c r="O211" i="7"/>
  <c r="O269" i="7"/>
  <c r="O158" i="7"/>
  <c r="O199" i="7"/>
  <c r="O294" i="7"/>
  <c r="O170" i="7"/>
  <c r="O287" i="7"/>
  <c r="O335" i="7"/>
  <c r="O60" i="7"/>
  <c r="O171" i="7"/>
  <c r="O166" i="7"/>
  <c r="O151" i="7"/>
  <c r="O108" i="7"/>
  <c r="O313" i="7"/>
  <c r="O191" i="7"/>
  <c r="O125" i="7"/>
  <c r="O88" i="7"/>
  <c r="O63" i="3"/>
  <c r="M229" i="3"/>
  <c r="M148" i="3"/>
  <c r="O148" i="3" s="1"/>
  <c r="O151" i="3"/>
  <c r="M109" i="3"/>
  <c r="O109" i="3" s="1"/>
  <c r="N282" i="3"/>
  <c r="O282" i="3" s="1"/>
  <c r="M104" i="3"/>
  <c r="O104" i="3" s="1"/>
  <c r="M96" i="3"/>
  <c r="O96" i="3" s="1"/>
  <c r="M230" i="3"/>
  <c r="O230" i="3" s="1"/>
  <c r="M336" i="3"/>
  <c r="O336" i="3" s="1"/>
  <c r="M61" i="3"/>
  <c r="O61" i="3" s="1"/>
  <c r="L119" i="3"/>
  <c r="N119" i="3" s="1"/>
  <c r="M88" i="3"/>
  <c r="O88" i="3" s="1"/>
  <c r="M198" i="3"/>
  <c r="O198" i="3" s="1"/>
  <c r="M226" i="3"/>
  <c r="O247" i="3"/>
  <c r="O122" i="3"/>
  <c r="M53" i="3"/>
  <c r="O53" i="3" s="1"/>
  <c r="M184" i="3"/>
  <c r="O184" i="3" s="1"/>
  <c r="M11" i="3"/>
  <c r="O11" i="3" s="1"/>
  <c r="M231" i="3"/>
  <c r="O231" i="3" s="1"/>
  <c r="M316" i="3"/>
  <c r="O316" i="3" s="1"/>
  <c r="M260" i="3"/>
  <c r="M21" i="3"/>
  <c r="O21" i="3" s="1"/>
  <c r="M14" i="3"/>
  <c r="O14" i="3" s="1"/>
  <c r="O5" i="3"/>
  <c r="M155" i="3"/>
  <c r="O155" i="3" s="1"/>
  <c r="O250" i="3"/>
  <c r="O175" i="3"/>
  <c r="M308" i="3"/>
  <c r="O308" i="3" s="1"/>
  <c r="M78" i="3"/>
  <c r="O78" i="3" s="1"/>
  <c r="M56" i="3"/>
  <c r="O56" i="3" s="1"/>
  <c r="M55" i="3"/>
  <c r="O55" i="3" s="1"/>
  <c r="M312" i="3"/>
  <c r="O312" i="3" s="1"/>
  <c r="M263" i="3"/>
  <c r="O263" i="3" s="1"/>
  <c r="N170" i="3"/>
  <c r="O170" i="3" s="1"/>
  <c r="M180" i="3"/>
  <c r="O180" i="3" s="1"/>
  <c r="M212" i="3"/>
  <c r="O212" i="3" s="1"/>
  <c r="M48" i="3"/>
  <c r="O48" i="3" s="1"/>
  <c r="N130" i="3"/>
  <c r="O130" i="3" s="1"/>
  <c r="M23" i="3"/>
  <c r="O23" i="3" s="1"/>
  <c r="O337" i="3"/>
  <c r="M140" i="3"/>
  <c r="O140" i="3" s="1"/>
  <c r="M100" i="3"/>
  <c r="O100" i="3" s="1"/>
  <c r="M89" i="3"/>
  <c r="O89" i="3" s="1"/>
  <c r="M40" i="3"/>
  <c r="O40" i="3" s="1"/>
  <c r="M31" i="3"/>
  <c r="O31" i="3" s="1"/>
  <c r="M7" i="3"/>
  <c r="O7" i="3" s="1"/>
  <c r="O189" i="3"/>
  <c r="M67" i="3"/>
  <c r="O67" i="3" s="1"/>
  <c r="M68" i="3"/>
  <c r="O68" i="3" s="1"/>
  <c r="M32" i="3"/>
  <c r="O32" i="3" s="1"/>
  <c r="L306" i="3"/>
  <c r="N306" i="3" s="1"/>
  <c r="M39" i="3"/>
  <c r="O39" i="3" s="1"/>
  <c r="O240" i="3"/>
  <c r="M12" i="3"/>
  <c r="O12" i="3" s="1"/>
  <c r="M322" i="3"/>
  <c r="L322" i="3"/>
  <c r="N322" i="3" s="1"/>
  <c r="L274" i="3"/>
  <c r="N274" i="3" s="1"/>
  <c r="M15" i="3"/>
  <c r="O15" i="3" s="1"/>
  <c r="M71" i="3"/>
  <c r="O71" i="3" s="1"/>
  <c r="O205" i="3"/>
  <c r="L290" i="3"/>
  <c r="N290" i="3" s="1"/>
  <c r="M147" i="3"/>
  <c r="O147" i="3" s="1"/>
  <c r="M47" i="3"/>
  <c r="O47" i="3" s="1"/>
  <c r="M87" i="3"/>
  <c r="O87" i="3" s="1"/>
  <c r="M284" i="3"/>
  <c r="O284" i="3" s="1"/>
  <c r="M137" i="3"/>
  <c r="M258" i="3"/>
  <c r="O258" i="3" s="1"/>
  <c r="L258" i="3"/>
  <c r="N258" i="3" s="1"/>
  <c r="M131" i="3"/>
  <c r="O131" i="3" s="1"/>
  <c r="L330" i="3"/>
  <c r="N330" i="3" s="1"/>
  <c r="M63" i="3"/>
  <c r="M103" i="3"/>
  <c r="O103" i="3" s="1"/>
  <c r="N301" i="3"/>
  <c r="O301" i="3" s="1"/>
  <c r="O194" i="3"/>
  <c r="M298" i="3"/>
  <c r="O298" i="3" s="1"/>
  <c r="L298" i="3"/>
  <c r="N298" i="3" s="1"/>
  <c r="M79" i="3"/>
  <c r="O79" i="3" s="1"/>
  <c r="O197" i="3"/>
  <c r="M261" i="3"/>
  <c r="O261" i="3" s="1"/>
  <c r="M332" i="3"/>
  <c r="O332" i="3" s="1"/>
  <c r="M266" i="3"/>
  <c r="L266" i="3"/>
  <c r="N266" i="3" s="1"/>
  <c r="M111" i="3"/>
  <c r="O111" i="3" s="1"/>
  <c r="O180" i="1"/>
  <c r="O43" i="1"/>
  <c r="O198" i="1"/>
  <c r="O75" i="1"/>
  <c r="O230" i="1"/>
  <c r="O91" i="1"/>
  <c r="O246" i="1"/>
  <c r="O324" i="1"/>
  <c r="O199" i="1"/>
  <c r="O2" i="1"/>
  <c r="O276" i="1"/>
  <c r="O23" i="1"/>
  <c r="O187" i="7"/>
  <c r="L332" i="7"/>
  <c r="N332" i="7" s="1"/>
  <c r="O242" i="7"/>
  <c r="M274" i="7"/>
  <c r="O274" i="7" s="1"/>
  <c r="O237" i="7"/>
  <c r="O259" i="7"/>
  <c r="M197" i="7"/>
  <c r="O197" i="7" s="1"/>
  <c r="M275" i="7"/>
  <c r="O275" i="7" s="1"/>
  <c r="O25" i="7"/>
  <c r="M179" i="7"/>
  <c r="O179" i="7" s="1"/>
  <c r="N229" i="7"/>
  <c r="O229" i="7" s="1"/>
  <c r="M126" i="7"/>
  <c r="O126" i="7" s="1"/>
  <c r="M334" i="7"/>
  <c r="O334" i="7" s="1"/>
  <c r="M189" i="7"/>
  <c r="O189" i="7" s="1"/>
  <c r="M84" i="7"/>
  <c r="O84" i="7" s="1"/>
  <c r="M64" i="7"/>
  <c r="O64" i="7" s="1"/>
  <c r="O164" i="7"/>
  <c r="N196" i="7"/>
  <c r="O196" i="7" s="1"/>
  <c r="L304" i="7"/>
  <c r="N304" i="7" s="1"/>
  <c r="O266" i="7"/>
  <c r="O295" i="7"/>
  <c r="O159" i="7"/>
  <c r="M310" i="7"/>
  <c r="O310" i="7" s="1"/>
  <c r="M286" i="7"/>
  <c r="O286" i="7" s="1"/>
  <c r="M182" i="7"/>
  <c r="O182" i="7" s="1"/>
  <c r="M59" i="7"/>
  <c r="O59" i="7" s="1"/>
  <c r="O253" i="7"/>
  <c r="O17" i="7"/>
  <c r="O213" i="7"/>
  <c r="M174" i="7"/>
  <c r="O174" i="7" s="1"/>
  <c r="O205" i="7"/>
  <c r="O223" i="7"/>
  <c r="M8" i="7"/>
  <c r="O8" i="7" s="1"/>
  <c r="O75" i="7"/>
  <c r="M48" i="7"/>
  <c r="O48" i="7" s="1"/>
  <c r="O250" i="7"/>
  <c r="O245" i="7"/>
  <c r="O148" i="7"/>
  <c r="O73" i="7"/>
  <c r="M288" i="7"/>
  <c r="O288" i="7" s="1"/>
  <c r="L288" i="7"/>
  <c r="N288" i="7" s="1"/>
  <c r="O234" i="7"/>
  <c r="M308" i="7"/>
  <c r="O308" i="7" s="1"/>
  <c r="L308" i="7"/>
  <c r="N308" i="7" s="1"/>
  <c r="N187" i="7"/>
  <c r="M36" i="7"/>
  <c r="O36" i="7" s="1"/>
  <c r="M80" i="7"/>
  <c r="O80" i="7" s="1"/>
  <c r="M149" i="7"/>
  <c r="O149" i="7" s="1"/>
  <c r="O285" i="7"/>
  <c r="O226" i="7"/>
  <c r="N181" i="7"/>
  <c r="O181" i="7" s="1"/>
  <c r="N261" i="7"/>
  <c r="O261" i="7" s="1"/>
  <c r="N131" i="7"/>
  <c r="O131" i="7" s="1"/>
  <c r="M65" i="7"/>
  <c r="O65" i="7" s="1"/>
  <c r="O188" i="7"/>
  <c r="M173" i="7"/>
  <c r="O173" i="7" s="1"/>
  <c r="M195" i="7"/>
  <c r="O195" i="7" s="1"/>
  <c r="L292" i="7"/>
  <c r="N292" i="7" s="1"/>
  <c r="L146" i="7"/>
  <c r="N146" i="7" s="1"/>
  <c r="M146" i="7"/>
  <c r="M255" i="7"/>
  <c r="O255" i="7" s="1"/>
  <c r="O113" i="7"/>
  <c r="M56" i="7"/>
  <c r="O56" i="7" s="1"/>
  <c r="M27" i="7"/>
  <c r="O27" i="7" s="1"/>
  <c r="M12" i="7"/>
  <c r="O12" i="7" s="1"/>
  <c r="M32" i="7"/>
  <c r="O32" i="7" s="1"/>
  <c r="L316" i="7"/>
  <c r="N316" i="7" s="1"/>
  <c r="O9" i="7"/>
  <c r="L280" i="7"/>
  <c r="N280" i="7" s="1"/>
  <c r="M218" i="7"/>
  <c r="O218" i="7" s="1"/>
  <c r="O252" i="7"/>
  <c r="O119" i="7"/>
  <c r="L122" i="7"/>
  <c r="N122" i="7" s="1"/>
  <c r="M122" i="7"/>
  <c r="O122" i="7" s="1"/>
  <c r="M327" i="7"/>
  <c r="O327" i="7" s="1"/>
  <c r="M326" i="7"/>
  <c r="O326" i="7" s="1"/>
  <c r="O279" i="7"/>
  <c r="O167" i="7"/>
  <c r="M68" i="7"/>
  <c r="O68" i="7" s="1"/>
  <c r="O210" i="7"/>
  <c r="O154" i="7"/>
  <c r="N155" i="7"/>
  <c r="O155" i="7" s="1"/>
  <c r="O57" i="7"/>
  <c r="M142" i="7"/>
  <c r="O142" i="7" s="1"/>
  <c r="M281" i="7"/>
  <c r="O281" i="7" s="1"/>
  <c r="O107" i="7"/>
  <c r="O72" i="7"/>
  <c r="O35" i="7"/>
  <c r="M20" i="7"/>
  <c r="O20" i="7" s="1"/>
  <c r="O3" i="7"/>
  <c r="M336" i="7"/>
  <c r="O336" i="7" s="1"/>
  <c r="L336" i="7"/>
  <c r="N336" i="7" s="1"/>
  <c r="M330" i="7"/>
  <c r="O330" i="7" s="1"/>
  <c r="M202" i="7"/>
  <c r="O202" i="7" s="1"/>
  <c r="M283" i="7"/>
  <c r="O283" i="7" s="1"/>
  <c r="M150" i="7"/>
  <c r="O150" i="7" s="1"/>
  <c r="M321" i="7"/>
  <c r="O321" i="7" s="1"/>
  <c r="O183" i="7"/>
  <c r="M318" i="7"/>
  <c r="O318" i="7" s="1"/>
  <c r="M300" i="7"/>
  <c r="O300" i="7" s="1"/>
  <c r="N268" i="7"/>
  <c r="O268" i="7" s="1"/>
  <c r="M52" i="7"/>
  <c r="O52" i="7" s="1"/>
  <c r="M40" i="7"/>
  <c r="O40" i="7" s="1"/>
  <c r="M4" i="7"/>
  <c r="O4" i="7" s="1"/>
  <c r="M172" i="7"/>
  <c r="O172" i="7" s="1"/>
  <c r="M273" i="7"/>
  <c r="O273" i="7" s="1"/>
  <c r="O333" i="7"/>
  <c r="M322" i="7"/>
  <c r="O322" i="7" s="1"/>
  <c r="M194" i="7"/>
  <c r="O194" i="7" s="1"/>
  <c r="L236" i="7"/>
  <c r="N236" i="7" s="1"/>
  <c r="O127" i="7"/>
  <c r="O49" i="7"/>
  <c r="M267" i="7"/>
  <c r="O267" i="7" s="1"/>
  <c r="O147" i="7"/>
  <c r="O120" i="7"/>
  <c r="M204" i="7"/>
  <c r="O204" i="7" s="1"/>
  <c r="L328" i="7"/>
  <c r="N328" i="7" s="1"/>
  <c r="M314" i="7"/>
  <c r="O314" i="7" s="1"/>
  <c r="M186" i="7"/>
  <c r="O186" i="7" s="1"/>
  <c r="O271" i="7"/>
  <c r="M337" i="7"/>
  <c r="O337" i="7" s="1"/>
  <c r="M162" i="7"/>
  <c r="O162" i="7" s="1"/>
  <c r="O143" i="7"/>
  <c r="O156" i="7"/>
  <c r="M99" i="7"/>
  <c r="O99" i="7" s="1"/>
  <c r="O83" i="7"/>
  <c r="M228" i="7"/>
  <c r="O228" i="7" s="1"/>
  <c r="M28" i="7"/>
  <c r="O28" i="7" s="1"/>
  <c r="M24" i="7"/>
  <c r="O24" i="7" s="1"/>
  <c r="O325" i="7"/>
  <c r="O178" i="7"/>
  <c r="O165" i="7"/>
  <c r="O284" i="7"/>
  <c r="M105" i="7"/>
  <c r="O105" i="7" s="1"/>
  <c r="O41" i="7"/>
  <c r="N235" i="7"/>
  <c r="O235" i="7" s="1"/>
  <c r="N227" i="7"/>
  <c r="O227" i="7" s="1"/>
  <c r="O116" i="7"/>
  <c r="O96" i="7"/>
  <c r="M140" i="7"/>
  <c r="O140" i="7" s="1"/>
  <c r="O81" i="7"/>
  <c r="O306" i="7"/>
  <c r="L320" i="7"/>
  <c r="N320" i="7" s="1"/>
  <c r="M298" i="7"/>
  <c r="O298" i="7" s="1"/>
  <c r="M305" i="7"/>
  <c r="O305" i="7" s="1"/>
  <c r="O112" i="7"/>
  <c r="M311" i="7"/>
  <c r="O311" i="7" s="1"/>
  <c r="M157" i="7"/>
  <c r="O157" i="7" s="1"/>
  <c r="O244" i="7"/>
  <c r="L138" i="7"/>
  <c r="N138" i="7" s="1"/>
  <c r="M138" i="7"/>
  <c r="M221" i="7"/>
  <c r="O221" i="7" s="1"/>
  <c r="M100" i="7"/>
  <c r="O100" i="7" s="1"/>
  <c r="M91" i="7"/>
  <c r="O91" i="7" s="1"/>
  <c r="M67" i="7"/>
  <c r="O67" i="7" s="1"/>
  <c r="L296" i="7"/>
  <c r="N296" i="7" s="1"/>
  <c r="M203" i="7"/>
  <c r="O203" i="7" s="1"/>
  <c r="M290" i="7"/>
  <c r="O290" i="7" s="1"/>
  <c r="M254" i="7"/>
  <c r="O254" i="7" s="1"/>
  <c r="M297" i="7"/>
  <c r="O297" i="7" s="1"/>
  <c r="M97" i="7"/>
  <c r="O97" i="7" s="1"/>
  <c r="O33" i="7"/>
  <c r="M207" i="7"/>
  <c r="O207" i="7" s="1"/>
  <c r="L130" i="7"/>
  <c r="N130" i="7" s="1"/>
  <c r="N212" i="7"/>
  <c r="O212" i="7" s="1"/>
  <c r="O239" i="7"/>
  <c r="M92" i="7"/>
  <c r="O92" i="7" s="1"/>
  <c r="M76" i="7"/>
  <c r="O76" i="7" s="1"/>
  <c r="M265" i="7"/>
  <c r="O265" i="7" s="1"/>
  <c r="L324" i="7"/>
  <c r="N324" i="7" s="1"/>
  <c r="M324" i="7"/>
  <c r="O324" i="7" s="1"/>
  <c r="L312" i="7"/>
  <c r="N312" i="7" s="1"/>
  <c r="M282" i="7"/>
  <c r="O282" i="7" s="1"/>
  <c r="M302" i="7"/>
  <c r="O302" i="7" s="1"/>
  <c r="M134" i="7"/>
  <c r="O134" i="7" s="1"/>
  <c r="O13" i="5"/>
  <c r="M12" i="5"/>
  <c r="M339" i="5"/>
  <c r="O339" i="5" s="1"/>
  <c r="M330" i="5"/>
  <c r="O330" i="5" s="1"/>
  <c r="O97" i="5"/>
  <c r="M266" i="5"/>
  <c r="N90" i="5"/>
  <c r="O90" i="5" s="1"/>
  <c r="M322" i="5"/>
  <c r="O322" i="5" s="1"/>
  <c r="M55" i="5"/>
  <c r="M234" i="5"/>
  <c r="M236" i="5"/>
  <c r="O236" i="5" s="1"/>
  <c r="M272" i="5"/>
  <c r="O272" i="5" s="1"/>
  <c r="O329" i="5"/>
  <c r="M327" i="5"/>
  <c r="O327" i="5" s="1"/>
  <c r="M299" i="5"/>
  <c r="M43" i="5"/>
  <c r="O43" i="5" s="1"/>
  <c r="M5" i="5"/>
  <c r="O5" i="5" s="1"/>
  <c r="M69" i="5"/>
  <c r="O69" i="5" s="1"/>
  <c r="M311" i="5"/>
  <c r="O311" i="5" s="1"/>
  <c r="M244" i="5"/>
  <c r="O244" i="5" s="1"/>
  <c r="M95" i="5"/>
  <c r="O95" i="5" s="1"/>
  <c r="M22" i="5"/>
  <c r="O22" i="5" s="1"/>
  <c r="M276" i="5"/>
  <c r="O276" i="5" s="1"/>
  <c r="O109" i="5"/>
  <c r="M61" i="5"/>
  <c r="O61" i="5" s="1"/>
  <c r="M118" i="5"/>
  <c r="M178" i="5"/>
  <c r="M334" i="5"/>
  <c r="M147" i="5"/>
  <c r="O147" i="5" s="1"/>
  <c r="M45" i="5"/>
  <c r="O45" i="5" s="1"/>
  <c r="M290" i="5"/>
  <c r="O290" i="5" s="1"/>
  <c r="M207" i="5"/>
  <c r="O207" i="5" s="1"/>
  <c r="M11" i="5"/>
  <c r="M93" i="5"/>
  <c r="O93" i="5" s="1"/>
  <c r="M122" i="5"/>
  <c r="O122" i="5" s="1"/>
  <c r="M304" i="5"/>
  <c r="O304" i="5" s="1"/>
  <c r="M203" i="5"/>
  <c r="M108" i="5"/>
  <c r="O108" i="5" s="1"/>
  <c r="M66" i="5"/>
  <c r="O66" i="5" s="1"/>
  <c r="M254" i="5"/>
  <c r="M150" i="5"/>
  <c r="M335" i="5"/>
  <c r="M197" i="5"/>
  <c r="O197" i="5" s="1"/>
  <c r="M149" i="5"/>
  <c r="O149" i="5" s="1"/>
  <c r="M256" i="5"/>
  <c r="O256" i="5" s="1"/>
  <c r="O251" i="5"/>
  <c r="O55" i="5"/>
  <c r="M303" i="5"/>
  <c r="O303" i="5" s="1"/>
  <c r="O170" i="5"/>
  <c r="M125" i="5"/>
  <c r="O125" i="5" s="1"/>
  <c r="M224" i="5"/>
  <c r="O224" i="5" s="1"/>
  <c r="O282" i="5"/>
  <c r="M68" i="5"/>
  <c r="M274" i="5"/>
  <c r="O274" i="5" s="1"/>
  <c r="M323" i="5"/>
  <c r="O323" i="5" s="1"/>
  <c r="O215" i="5"/>
  <c r="M328" i="5"/>
  <c r="M206" i="5"/>
  <c r="O206" i="5" s="1"/>
  <c r="M35" i="5"/>
  <c r="O35" i="5" s="1"/>
  <c r="M332" i="5"/>
  <c r="O332" i="5" s="1"/>
  <c r="M27" i="5"/>
  <c r="M88" i="5"/>
  <c r="O88" i="5" s="1"/>
  <c r="M80" i="5"/>
  <c r="O80" i="5" s="1"/>
  <c r="M338" i="5"/>
  <c r="O338" i="5" s="1"/>
  <c r="O26" i="5"/>
  <c r="M167" i="5"/>
  <c r="O167" i="5" s="1"/>
  <c r="M292" i="5"/>
  <c r="O292" i="5" s="1"/>
  <c r="M259" i="5"/>
  <c r="O259" i="5" s="1"/>
  <c r="O148" i="5"/>
  <c r="M161" i="5"/>
  <c r="O161" i="5" s="1"/>
  <c r="O175" i="5"/>
  <c r="M142" i="5"/>
  <c r="O142" i="5" s="1"/>
  <c r="O18" i="5"/>
  <c r="O187" i="5"/>
  <c r="M325" i="5"/>
  <c r="O325" i="5" s="1"/>
  <c r="M293" i="5"/>
  <c r="O293" i="5" s="1"/>
  <c r="M131" i="5"/>
  <c r="M4" i="5"/>
  <c r="O4" i="5" s="1"/>
  <c r="O64" i="5"/>
  <c r="M192" i="5"/>
  <c r="O192" i="5" s="1"/>
  <c r="M200" i="5"/>
  <c r="O200" i="5" s="1"/>
  <c r="M288" i="5"/>
  <c r="O288" i="5" s="1"/>
  <c r="M158" i="5"/>
  <c r="O158" i="5" s="1"/>
  <c r="M287" i="5"/>
  <c r="O287" i="5" s="1"/>
  <c r="M219" i="5"/>
  <c r="O91" i="5"/>
  <c r="M294" i="5"/>
  <c r="M165" i="5"/>
  <c r="O165" i="5" s="1"/>
  <c r="O96" i="5"/>
  <c r="M179" i="5"/>
  <c r="O179" i="5" s="1"/>
  <c r="O334" i="5"/>
  <c r="O24" i="5"/>
  <c r="O12" i="5"/>
  <c r="O316" i="5"/>
  <c r="O319" i="5"/>
  <c r="O234" i="5"/>
  <c r="O223" i="5"/>
  <c r="O119" i="5"/>
  <c r="O102" i="5"/>
  <c r="O68" i="5"/>
  <c r="O328" i="5"/>
  <c r="O188" i="5"/>
  <c r="O230" i="5"/>
  <c r="O114" i="5"/>
  <c r="O27" i="5"/>
  <c r="O214" i="5"/>
  <c r="O283" i="5"/>
  <c r="O98" i="5"/>
  <c r="O140" i="5"/>
  <c r="M268" i="5"/>
  <c r="O268" i="5" s="1"/>
  <c r="O291" i="5"/>
  <c r="M298" i="5"/>
  <c r="O298" i="5" s="1"/>
  <c r="L23" i="5"/>
  <c r="N23" i="5" s="1"/>
  <c r="M242" i="5"/>
  <c r="O242" i="5" s="1"/>
  <c r="L42" i="5"/>
  <c r="N42" i="5" s="1"/>
  <c r="M333" i="5"/>
  <c r="O333" i="5" s="1"/>
  <c r="M128" i="5"/>
  <c r="O128" i="5" s="1"/>
  <c r="M317" i="5"/>
  <c r="O317" i="5" s="1"/>
  <c r="O180" i="5"/>
  <c r="O38" i="5"/>
  <c r="M117" i="5"/>
  <c r="O117" i="5" s="1"/>
  <c r="M250" i="5"/>
  <c r="O250" i="5" s="1"/>
  <c r="M221" i="5"/>
  <c r="O221" i="5" s="1"/>
  <c r="M107" i="5"/>
  <c r="O107" i="5" s="1"/>
  <c r="L15" i="5"/>
  <c r="N15" i="5" s="1"/>
  <c r="M213" i="5"/>
  <c r="O213" i="5" s="1"/>
  <c r="O65" i="5"/>
  <c r="M198" i="5"/>
  <c r="O198" i="5" s="1"/>
  <c r="L111" i="5"/>
  <c r="N111" i="5" s="1"/>
  <c r="M141" i="5"/>
  <c r="O141" i="5" s="1"/>
  <c r="M312" i="5"/>
  <c r="O312" i="5" s="1"/>
  <c r="O116" i="5"/>
  <c r="M235" i="5"/>
  <c r="O235" i="5" s="1"/>
  <c r="M103" i="5"/>
  <c r="O103" i="5" s="1"/>
  <c r="O199" i="5"/>
  <c r="O58" i="5"/>
  <c r="M3" i="5"/>
  <c r="O3" i="5" s="1"/>
  <c r="M130" i="5"/>
  <c r="O130" i="5" s="1"/>
  <c r="L10" i="5"/>
  <c r="N10" i="5" s="1"/>
  <c r="M10" i="5"/>
  <c r="M56" i="5"/>
  <c r="O56" i="5" s="1"/>
  <c r="M60" i="5"/>
  <c r="O60" i="5" s="1"/>
  <c r="O266" i="5"/>
  <c r="O11" i="5"/>
  <c r="M164" i="5"/>
  <c r="O164" i="5" s="1"/>
  <c r="O219" i="5"/>
  <c r="M324" i="5"/>
  <c r="O324" i="5" s="1"/>
  <c r="L31" i="5"/>
  <c r="N31" i="5" s="1"/>
  <c r="M269" i="5"/>
  <c r="O269" i="5" s="1"/>
  <c r="M336" i="5"/>
  <c r="O336" i="5" s="1"/>
  <c r="M144" i="5"/>
  <c r="O144" i="5" s="1"/>
  <c r="M238" i="5"/>
  <c r="O238" i="5" s="1"/>
  <c r="M20" i="5"/>
  <c r="O20" i="5" s="1"/>
  <c r="O267" i="5"/>
  <c r="O82" i="5"/>
  <c r="M44" i="5"/>
  <c r="O44" i="5" s="1"/>
  <c r="O73" i="5"/>
  <c r="M136" i="5"/>
  <c r="O136" i="5" s="1"/>
  <c r="O54" i="5"/>
  <c r="M182" i="5"/>
  <c r="O182" i="5" s="1"/>
  <c r="M181" i="5"/>
  <c r="O181" i="5" s="1"/>
  <c r="M76" i="5"/>
  <c r="O76" i="5" s="1"/>
  <c r="M301" i="5"/>
  <c r="O301" i="5" s="1"/>
  <c r="M143" i="5"/>
  <c r="O143" i="5" s="1"/>
  <c r="O299" i="5"/>
  <c r="L315" i="5"/>
  <c r="N315" i="5" s="1"/>
  <c r="M245" i="5"/>
  <c r="O245" i="5" s="1"/>
  <c r="M222" i="5"/>
  <c r="O222" i="5" s="1"/>
  <c r="M92" i="5"/>
  <c r="O92" i="5" s="1"/>
  <c r="M176" i="5"/>
  <c r="O176" i="5" s="1"/>
  <c r="M253" i="5"/>
  <c r="O253" i="5" s="1"/>
  <c r="M32" i="5"/>
  <c r="O32" i="5" s="1"/>
  <c r="M133" i="5"/>
  <c r="O133" i="5" s="1"/>
  <c r="M314" i="5"/>
  <c r="O314" i="5" s="1"/>
  <c r="M263" i="5"/>
  <c r="O263" i="5" s="1"/>
  <c r="M261" i="5"/>
  <c r="O261" i="5" s="1"/>
  <c r="O239" i="5"/>
  <c r="L331" i="5"/>
  <c r="N331" i="5" s="1"/>
  <c r="M202" i="5"/>
  <c r="O202" i="5" s="1"/>
  <c r="M67" i="5"/>
  <c r="O67" i="5" s="1"/>
  <c r="M231" i="5"/>
  <c r="O231" i="5" s="1"/>
  <c r="M86" i="5"/>
  <c r="O86" i="5" s="1"/>
  <c r="M237" i="5"/>
  <c r="O237" i="5" s="1"/>
  <c r="M258" i="5"/>
  <c r="O258" i="5" s="1"/>
  <c r="O78" i="5"/>
  <c r="M320" i="5"/>
  <c r="O320" i="5" s="1"/>
  <c r="M168" i="5"/>
  <c r="O168" i="5" s="1"/>
  <c r="M36" i="5"/>
  <c r="O36" i="5" s="1"/>
  <c r="O286" i="5"/>
  <c r="O57" i="5"/>
  <c r="M302" i="5"/>
  <c r="O302" i="5" s="1"/>
  <c r="O106" i="5"/>
  <c r="M232" i="5"/>
  <c r="O232" i="5" s="1"/>
  <c r="O6" i="5"/>
  <c r="M216" i="5"/>
  <c r="O216" i="5" s="1"/>
  <c r="O178" i="5"/>
  <c r="M229" i="5"/>
  <c r="O229" i="5" s="1"/>
  <c r="O70" i="5"/>
  <c r="M62" i="5"/>
  <c r="O62" i="5" s="1"/>
  <c r="O279" i="5"/>
  <c r="M39" i="5"/>
  <c r="O39" i="5" s="1"/>
  <c r="M84" i="5"/>
  <c r="O84" i="5" s="1"/>
  <c r="O135" i="5"/>
  <c r="O50" i="5"/>
  <c r="O294" i="5"/>
  <c r="M211" i="5"/>
  <c r="O211" i="5" s="1"/>
  <c r="M51" i="5"/>
  <c r="O51" i="5" s="1"/>
  <c r="O335" i="5"/>
  <c r="M285" i="5"/>
  <c r="O285" i="5" s="1"/>
  <c r="M284" i="5"/>
  <c r="O284" i="5" s="1"/>
  <c r="L275" i="5"/>
  <c r="N275" i="5" s="1"/>
  <c r="M193" i="5"/>
  <c r="O193" i="5" s="1"/>
  <c r="M210" i="5"/>
  <c r="O210" i="5" s="1"/>
  <c r="M174" i="5"/>
  <c r="O174" i="5" s="1"/>
  <c r="L63" i="5"/>
  <c r="N63" i="5" s="1"/>
  <c r="M157" i="5"/>
  <c r="O157" i="5" s="1"/>
  <c r="M264" i="5"/>
  <c r="O264" i="5" s="1"/>
  <c r="M326" i="5"/>
  <c r="O326" i="5" s="1"/>
  <c r="M262" i="5"/>
  <c r="O262" i="5" s="1"/>
  <c r="O46" i="5"/>
  <c r="M277" i="5"/>
  <c r="O277" i="5" s="1"/>
  <c r="O247" i="5"/>
  <c r="O185" i="5"/>
  <c r="M278" i="5"/>
  <c r="O278" i="5" s="1"/>
  <c r="O246" i="5"/>
  <c r="O94" i="5"/>
  <c r="M169" i="5"/>
  <c r="O169" i="5" s="1"/>
  <c r="M208" i="5"/>
  <c r="O208" i="5" s="1"/>
  <c r="M162" i="5"/>
  <c r="O162" i="5" s="1"/>
  <c r="L47" i="5"/>
  <c r="N47" i="5" s="1"/>
  <c r="M120" i="5"/>
  <c r="O120" i="5" s="1"/>
  <c r="M7" i="5"/>
  <c r="O7" i="5" s="1"/>
  <c r="O255" i="5"/>
  <c r="M75" i="5"/>
  <c r="O75" i="5" s="1"/>
  <c r="M16" i="5"/>
  <c r="O16" i="5" s="1"/>
  <c r="O2" i="5"/>
  <c r="M194" i="5"/>
  <c r="O194" i="5" s="1"/>
  <c r="O227" i="5"/>
  <c r="M240" i="5"/>
  <c r="O240" i="5" s="1"/>
  <c r="L87" i="5"/>
  <c r="N87" i="5" s="1"/>
  <c r="O150" i="5"/>
  <c r="M183" i="5"/>
  <c r="O183" i="5" s="1"/>
  <c r="O118" i="5"/>
  <c r="M260" i="5"/>
  <c r="O260" i="5" s="1"/>
  <c r="L79" i="5"/>
  <c r="N79" i="5" s="1"/>
  <c r="O41" i="5"/>
  <c r="M52" i="5"/>
  <c r="O52" i="5" s="1"/>
  <c r="M189" i="5"/>
  <c r="O189" i="5" s="1"/>
  <c r="M271" i="5"/>
  <c r="O271" i="5" s="1"/>
  <c r="O254" i="5"/>
  <c r="M139" i="5"/>
  <c r="O139" i="5" s="1"/>
  <c r="M154" i="5"/>
  <c r="O154" i="5" s="1"/>
  <c r="M308" i="5"/>
  <c r="O308" i="5" s="1"/>
  <c r="M184" i="5"/>
  <c r="O184" i="5" s="1"/>
  <c r="O131" i="5"/>
  <c r="M226" i="5"/>
  <c r="O226" i="5" s="1"/>
  <c r="O203" i="5"/>
  <c r="M186" i="5"/>
  <c r="O186" i="5" s="1"/>
  <c r="O123" i="5"/>
  <c r="M138" i="5"/>
  <c r="O138" i="5" s="1"/>
  <c r="L307" i="5"/>
  <c r="N307" i="5" s="1"/>
  <c r="M163" i="5"/>
  <c r="O163" i="5" s="1"/>
  <c r="O243" i="5"/>
  <c r="M296" i="5"/>
  <c r="O296" i="5" s="1"/>
  <c r="M173" i="5"/>
  <c r="O173" i="5" s="1"/>
  <c r="M160" i="5"/>
  <c r="O160" i="5" s="1"/>
  <c r="M152" i="5"/>
  <c r="O152" i="5" s="1"/>
  <c r="M309" i="5"/>
  <c r="O309" i="5" s="1"/>
  <c r="M196" i="5"/>
  <c r="O196" i="5" s="1"/>
  <c r="M71" i="5"/>
  <c r="O71" i="5" s="1"/>
  <c r="O9" i="5"/>
  <c r="M300" i="5"/>
  <c r="O300" i="5" s="1"/>
  <c r="O30" i="5"/>
  <c r="M306" i="5"/>
  <c r="O306" i="5" s="1"/>
  <c r="M280" i="5"/>
  <c r="O280" i="5" s="1"/>
  <c r="M295" i="5"/>
  <c r="O295" i="5" s="1"/>
  <c r="M99" i="5"/>
  <c r="O99" i="5" s="1"/>
  <c r="M205" i="5"/>
  <c r="O205" i="5" s="1"/>
  <c r="M248" i="5"/>
  <c r="O248" i="5" s="1"/>
  <c r="O110" i="5"/>
  <c r="O14" i="5"/>
  <c r="M218" i="5"/>
  <c r="O218" i="5" s="1"/>
  <c r="M129" i="5"/>
  <c r="O129" i="5" s="1"/>
  <c r="M285" i="3"/>
  <c r="O285" i="3" s="1"/>
  <c r="O75" i="3"/>
  <c r="N146" i="3"/>
  <c r="O146" i="3" s="1"/>
  <c r="M62" i="3"/>
  <c r="O62" i="3" s="1"/>
  <c r="O277" i="3"/>
  <c r="N210" i="3"/>
  <c r="O210" i="3" s="1"/>
  <c r="M188" i="3"/>
  <c r="O188" i="3" s="1"/>
  <c r="N242" i="3"/>
  <c r="O242" i="3" s="1"/>
  <c r="O117" i="3"/>
  <c r="O2" i="3"/>
  <c r="M288" i="3"/>
  <c r="O288" i="3" s="1"/>
  <c r="M156" i="3"/>
  <c r="O156" i="3" s="1"/>
  <c r="M303" i="3"/>
  <c r="O303" i="3" s="1"/>
  <c r="M138" i="3"/>
  <c r="O138" i="3" s="1"/>
  <c r="M101" i="3"/>
  <c r="O101" i="3" s="1"/>
  <c r="M110" i="3"/>
  <c r="O110" i="3" s="1"/>
  <c r="N338" i="3"/>
  <c r="O338" i="3" s="1"/>
  <c r="O269" i="3"/>
  <c r="N234" i="3"/>
  <c r="O234" i="3" s="1"/>
  <c r="O248" i="3"/>
  <c r="M127" i="3"/>
  <c r="O127" i="3" s="1"/>
  <c r="M3" i="3"/>
  <c r="O3" i="3" s="1"/>
  <c r="M218" i="3"/>
  <c r="O218" i="3" s="1"/>
  <c r="O154" i="3"/>
  <c r="O323" i="3"/>
  <c r="O259" i="3"/>
  <c r="O244" i="3"/>
  <c r="M93" i="3"/>
  <c r="O93" i="3" s="1"/>
  <c r="M108" i="3"/>
  <c r="O108" i="3" s="1"/>
  <c r="N91" i="3"/>
  <c r="O91" i="3" s="1"/>
  <c r="M86" i="3"/>
  <c r="O86" i="3" s="1"/>
  <c r="O116" i="3"/>
  <c r="N317" i="3"/>
  <c r="O317" i="3" s="1"/>
  <c r="O253" i="3"/>
  <c r="M172" i="3"/>
  <c r="O172" i="3" s="1"/>
  <c r="M157" i="3"/>
  <c r="O157" i="3" s="1"/>
  <c r="M295" i="3"/>
  <c r="O295" i="3" s="1"/>
  <c r="M59" i="3"/>
  <c r="O59" i="3" s="1"/>
  <c r="L141" i="3"/>
  <c r="N141" i="3" s="1"/>
  <c r="M141" i="3"/>
  <c r="O141" i="3" s="1"/>
  <c r="O315" i="3"/>
  <c r="M77" i="3"/>
  <c r="O77" i="3" s="1"/>
  <c r="M92" i="3"/>
  <c r="O92" i="3" s="1"/>
  <c r="M73" i="3"/>
  <c r="O73" i="3" s="1"/>
  <c r="M46" i="3"/>
  <c r="O46" i="3" s="1"/>
  <c r="O276" i="3"/>
  <c r="O252" i="3"/>
  <c r="M69" i="3"/>
  <c r="O69" i="3" s="1"/>
  <c r="M84" i="3"/>
  <c r="O84" i="3" s="1"/>
  <c r="M30" i="3"/>
  <c r="O30" i="3" s="1"/>
  <c r="O137" i="3"/>
  <c r="O223" i="3"/>
  <c r="M76" i="3"/>
  <c r="O76" i="3" s="1"/>
  <c r="M333" i="3"/>
  <c r="O333" i="3" s="1"/>
  <c r="M237" i="3"/>
  <c r="O237" i="3" s="1"/>
  <c r="O51" i="3"/>
  <c r="M328" i="3"/>
  <c r="O328" i="3" s="1"/>
  <c r="M264" i="3"/>
  <c r="O264" i="3" s="1"/>
  <c r="M287" i="3"/>
  <c r="O287" i="3" s="1"/>
  <c r="M213" i="3"/>
  <c r="O213" i="3" s="1"/>
  <c r="M245" i="3"/>
  <c r="O245" i="3" s="1"/>
  <c r="M339" i="3"/>
  <c r="O339" i="3" s="1"/>
  <c r="O196" i="3"/>
  <c r="O229" i="3"/>
  <c r="O202" i="3"/>
  <c r="M255" i="3"/>
  <c r="O255" i="3" s="1"/>
  <c r="O221" i="3"/>
  <c r="M132" i="3"/>
  <c r="O132" i="3" s="1"/>
  <c r="L215" i="3"/>
  <c r="N215" i="3" s="1"/>
  <c r="M215" i="3"/>
  <c r="O215" i="3" s="1"/>
  <c r="O256" i="3"/>
  <c r="M327" i="3"/>
  <c r="O327" i="3" s="1"/>
  <c r="M207" i="3"/>
  <c r="O207" i="3" s="1"/>
  <c r="M107" i="3"/>
  <c r="O107" i="3" s="1"/>
  <c r="M43" i="3"/>
  <c r="O43" i="3" s="1"/>
  <c r="M169" i="3"/>
  <c r="O169" i="3" s="1"/>
  <c r="M268" i="3"/>
  <c r="O268" i="3" s="1"/>
  <c r="O299" i="3"/>
  <c r="M45" i="3"/>
  <c r="O45" i="3" s="1"/>
  <c r="M60" i="3"/>
  <c r="O60" i="3" s="1"/>
  <c r="M17" i="3"/>
  <c r="O17" i="3" s="1"/>
  <c r="M57" i="3"/>
  <c r="O57" i="3" s="1"/>
  <c r="M123" i="3"/>
  <c r="O123" i="3" s="1"/>
  <c r="M37" i="3"/>
  <c r="O37" i="3" s="1"/>
  <c r="M52" i="3"/>
  <c r="O52" i="3" s="1"/>
  <c r="M102" i="3"/>
  <c r="O102" i="3" s="1"/>
  <c r="M236" i="3"/>
  <c r="O236" i="3" s="1"/>
  <c r="M228" i="3"/>
  <c r="O228" i="3" s="1"/>
  <c r="O226" i="3"/>
  <c r="M279" i="3"/>
  <c r="O279" i="3" s="1"/>
  <c r="O99" i="3"/>
  <c r="O35" i="3"/>
  <c r="O291" i="3"/>
  <c r="M29" i="3"/>
  <c r="O29" i="3" s="1"/>
  <c r="M44" i="3"/>
  <c r="O44" i="3" s="1"/>
  <c r="M49" i="3"/>
  <c r="O49" i="3" s="1"/>
  <c r="M94" i="3"/>
  <c r="O94" i="3" s="1"/>
  <c r="O319" i="3"/>
  <c r="O164" i="3"/>
  <c r="O260" i="3"/>
  <c r="O178" i="3"/>
  <c r="M28" i="3"/>
  <c r="O28" i="3" s="1"/>
  <c r="M325" i="3"/>
  <c r="O325" i="3" s="1"/>
  <c r="M220" i="3"/>
  <c r="O220" i="3" s="1"/>
  <c r="M27" i="3"/>
  <c r="O27" i="3" s="1"/>
  <c r="M300" i="3"/>
  <c r="O300" i="3" s="1"/>
  <c r="O283" i="3"/>
  <c r="M145" i="3"/>
  <c r="O145" i="3" s="1"/>
  <c r="M13" i="3"/>
  <c r="O13" i="3" s="1"/>
  <c r="M20" i="3"/>
  <c r="O20" i="3" s="1"/>
  <c r="M105" i="3"/>
  <c r="O105" i="3" s="1"/>
  <c r="M41" i="3"/>
  <c r="O41" i="3" s="1"/>
  <c r="M54" i="3"/>
  <c r="O54" i="3" s="1"/>
  <c r="O309" i="3"/>
  <c r="O142" i="3"/>
  <c r="O149" i="3"/>
  <c r="O173" i="3"/>
  <c r="M38" i="3"/>
  <c r="O38" i="3" s="1"/>
  <c r="O181" i="3"/>
  <c r="O165" i="3"/>
  <c r="M124" i="3"/>
  <c r="O124" i="3" s="1"/>
  <c r="M311" i="3"/>
  <c r="O311" i="3" s="1"/>
  <c r="M83" i="3"/>
  <c r="O83" i="3" s="1"/>
  <c r="M4" i="3"/>
  <c r="O4" i="3" s="1"/>
  <c r="M97" i="3"/>
  <c r="O97" i="3" s="1"/>
  <c r="M33" i="3"/>
  <c r="O33" i="3" s="1"/>
  <c r="M22" i="3"/>
  <c r="O22" i="3" s="1"/>
  <c r="O271" i="3"/>
  <c r="M204" i="3"/>
  <c r="O204" i="3" s="1"/>
  <c r="O161" i="3"/>
  <c r="O19" i="3"/>
  <c r="M239" i="3"/>
  <c r="O239" i="3" s="1"/>
  <c r="M134" i="3"/>
  <c r="O134" i="3" s="1"/>
  <c r="O293" i="3"/>
  <c r="M335" i="3"/>
  <c r="O335" i="3" s="1"/>
  <c r="M121" i="3"/>
  <c r="O121" i="3" s="1"/>
  <c r="M296" i="3"/>
  <c r="O296" i="3" s="1"/>
  <c r="M292" i="3"/>
  <c r="O292" i="3" s="1"/>
  <c r="O10" i="3"/>
  <c r="O126" i="3"/>
  <c r="O251" i="3"/>
  <c r="M36" i="3"/>
  <c r="O36" i="3" s="1"/>
  <c r="M6" i="3"/>
  <c r="O6" i="3" s="1"/>
  <c r="O196" i="1"/>
  <c r="M22" i="1"/>
  <c r="O22" i="1" s="1"/>
  <c r="O294" i="1"/>
  <c r="M70" i="1"/>
  <c r="O70" i="1" s="1"/>
  <c r="M102" i="1"/>
  <c r="O102" i="1" s="1"/>
  <c r="O326" i="1"/>
  <c r="M118" i="1"/>
  <c r="O118" i="1" s="1"/>
  <c r="O84" i="1"/>
  <c r="O212" i="1"/>
  <c r="M166" i="1"/>
  <c r="O166" i="1" s="1"/>
  <c r="O100" i="1"/>
  <c r="O87" i="1"/>
  <c r="O119" i="1"/>
  <c r="O20" i="1"/>
  <c r="O164" i="1"/>
  <c r="O228" i="1"/>
  <c r="M6" i="1"/>
  <c r="O6" i="1" s="1"/>
  <c r="M38" i="1"/>
  <c r="O38" i="1" s="1"/>
  <c r="O68" i="1"/>
  <c r="M54" i="1"/>
  <c r="O54" i="1" s="1"/>
  <c r="O52" i="1"/>
  <c r="O292" i="1"/>
  <c r="M86" i="1"/>
  <c r="O86" i="1" s="1"/>
  <c r="O148" i="1"/>
  <c r="O260" i="1"/>
  <c r="O116" i="1"/>
  <c r="O36" i="1"/>
  <c r="O214" i="1"/>
  <c r="M134" i="1"/>
  <c r="O134" i="1" s="1"/>
  <c r="M150" i="1"/>
  <c r="O150" i="1" s="1"/>
  <c r="O10" i="5" l="1"/>
  <c r="O266" i="3"/>
  <c r="O322" i="3"/>
  <c r="O146" i="7"/>
  <c r="O138" i="7"/>
  <c r="M290" i="3"/>
  <c r="O290" i="3" s="1"/>
  <c r="M330" i="3"/>
  <c r="O330" i="3" s="1"/>
  <c r="M274" i="3"/>
  <c r="O274" i="3" s="1"/>
  <c r="M119" i="3"/>
  <c r="O119" i="3" s="1"/>
  <c r="M306" i="3"/>
  <c r="O306" i="3" s="1"/>
  <c r="M332" i="7"/>
  <c r="O332" i="7" s="1"/>
  <c r="M312" i="7"/>
  <c r="O312" i="7" s="1"/>
  <c r="M316" i="7"/>
  <c r="O316" i="7" s="1"/>
  <c r="M130" i="7"/>
  <c r="O130" i="7" s="1"/>
  <c r="M320" i="7"/>
  <c r="O320" i="7" s="1"/>
  <c r="M292" i="7"/>
  <c r="O292" i="7" s="1"/>
  <c r="M328" i="7"/>
  <c r="O328" i="7" s="1"/>
  <c r="M280" i="7"/>
  <c r="O280" i="7" s="1"/>
  <c r="M296" i="7"/>
  <c r="O296" i="7" s="1"/>
  <c r="M304" i="7"/>
  <c r="O304" i="7" s="1"/>
  <c r="M236" i="7"/>
  <c r="O236" i="7" s="1"/>
  <c r="M111" i="5"/>
  <c r="M331" i="5"/>
  <c r="O331" i="5" s="1"/>
  <c r="M315" i="5"/>
  <c r="M15" i="5"/>
  <c r="M87" i="5"/>
  <c r="M307" i="5"/>
  <c r="O15" i="5"/>
  <c r="O315" i="5"/>
  <c r="O307" i="5"/>
  <c r="O111" i="5"/>
  <c r="O87" i="5"/>
  <c r="M63" i="5"/>
  <c r="O63" i="5" s="1"/>
  <c r="M275" i="5"/>
  <c r="O275" i="5" s="1"/>
  <c r="M42" i="5"/>
  <c r="O42" i="5" s="1"/>
  <c r="M47" i="5"/>
  <c r="O47" i="5" s="1"/>
  <c r="M23" i="5"/>
  <c r="O23" i="5" s="1"/>
  <c r="M79" i="5"/>
  <c r="O79" i="5" s="1"/>
  <c r="M31" i="5"/>
  <c r="O31" i="5" s="1"/>
</calcChain>
</file>

<file path=xl/sharedStrings.xml><?xml version="1.0" encoding="utf-8"?>
<sst xmlns="http://schemas.openxmlformats.org/spreadsheetml/2006/main" count="1369" uniqueCount="18">
  <si>
    <t>ValuationDate</t>
  </si>
  <si>
    <t>Underlying</t>
  </si>
  <si>
    <t>Spot</t>
  </si>
  <si>
    <t>Forward</t>
  </si>
  <si>
    <t>Expiry</t>
  </si>
  <si>
    <t>Volatility</t>
  </si>
  <si>
    <t>S&amp;P 500 INDEX</t>
  </si>
  <si>
    <t>Year Fraction</t>
  </si>
  <si>
    <t>Strike</t>
  </si>
  <si>
    <t>Call Price</t>
  </si>
  <si>
    <t>Put Price</t>
  </si>
  <si>
    <t>Discount Rate</t>
  </si>
  <si>
    <t>d1</t>
  </si>
  <si>
    <t>d2</t>
  </si>
  <si>
    <t>Parity Check</t>
  </si>
  <si>
    <t>FTSE 100 INDEX</t>
  </si>
  <si>
    <t>STOXX 50</t>
  </si>
  <si>
    <t>NIKKEI 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</si>
</sst>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15" fontId="0" fillId="0" borderId="0" xfId="0" applyNumberFormat="1"/>
    <xf numFmtId="168" fontId="0" fillId="0" borderId="0" xfId="1" applyNumberFormat="1" applyFont="1"/>
    <xf numFmtId="0" fontId="0" fillId="33" borderId="0" xfId="0" applyFill="1"/>
    <xf numFmtId="0" fontId="16" fillId="0" borderId="0" xfId="0" applyFont="1"/>
    <xf numFmtId="0" fontId="16" fillId="33" borderId="0" xfId="0" applyFont="1" applyFill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813BDCB9-0AE2-4076-8A41-B99E7C18D9CC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0026-B433-4C6F-ABCE-0B86182E2652}">
  <dimension ref="A1:O339"/>
  <sheetViews>
    <sheetView tabSelected="1" workbookViewId="0">
      <selection activeCell="D22" sqref="D22"/>
    </sheetView>
  </sheetViews>
  <sheetFormatPr defaultRowHeight="14.4" x14ac:dyDescent="0.3"/>
  <cols>
    <col min="1" max="1" width="13.33203125" bestFit="1" customWidth="1"/>
    <col min="2" max="2" width="13.44140625" bestFit="1" customWidth="1"/>
    <col min="3" max="3" width="8" bestFit="1" customWidth="1"/>
    <col min="4" max="4" width="12" bestFit="1" customWidth="1"/>
    <col min="5" max="5" width="12.88671875" bestFit="1" customWidth="1"/>
    <col min="6" max="6" width="9.5546875" bestFit="1" customWidth="1"/>
    <col min="7" max="7" width="12.33203125" bestFit="1" customWidth="1"/>
    <col min="8" max="8" width="9" bestFit="1" customWidth="1"/>
    <col min="9" max="9" width="9" customWidth="1"/>
    <col min="10" max="10" width="12.21875" style="3" bestFit="1" customWidth="1"/>
    <col min="11" max="12" width="9" style="3" customWidth="1"/>
    <col min="13" max="13" width="8.88671875" style="3"/>
    <col min="14" max="14" width="12" style="3" bestFit="1" customWidth="1"/>
    <col min="15" max="15" width="11.33203125" style="3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11</v>
      </c>
      <c r="F1" s="4" t="s">
        <v>4</v>
      </c>
      <c r="G1" s="4" t="s">
        <v>8</v>
      </c>
      <c r="H1" s="4" t="s">
        <v>5</v>
      </c>
      <c r="J1" s="5" t="s">
        <v>7</v>
      </c>
      <c r="K1" s="5" t="s">
        <v>12</v>
      </c>
      <c r="L1" s="5" t="s">
        <v>13</v>
      </c>
      <c r="M1" s="5" t="s">
        <v>9</v>
      </c>
      <c r="N1" s="5" t="s">
        <v>10</v>
      </c>
      <c r="O1" s="5" t="s">
        <v>14</v>
      </c>
    </row>
    <row r="2" spans="1:15" x14ac:dyDescent="0.3">
      <c r="A2" s="1">
        <v>45987</v>
      </c>
      <c r="B2" t="s">
        <v>6</v>
      </c>
      <c r="C2">
        <v>6812.61</v>
      </c>
      <c r="D2">
        <v>6814.83212</v>
      </c>
      <c r="E2" s="2">
        <v>4.0870840998296389E-2</v>
      </c>
      <c r="F2" s="1">
        <v>45992</v>
      </c>
      <c r="G2">
        <v>3406.3049999999998</v>
      </c>
      <c r="H2">
        <v>1.1899299999999999</v>
      </c>
      <c r="J2" s="3">
        <f>(F2-A2)/365</f>
        <v>1.3698630136986301E-2</v>
      </c>
      <c r="K2" s="3">
        <f>(LN(D2/G2)+H2^2*J2/2)/(H2*SQRT(J2))</f>
        <v>5.0489522484879794</v>
      </c>
      <c r="L2" s="3">
        <f>K2-H2*SQRT(J2)</f>
        <v>4.9096814762048879</v>
      </c>
      <c r="M2" s="3">
        <f>EXP(-E2*J2)*(D2*_xlfn.NORM.DIST(K2,0,1,TRUE)-G2*_xlfn.NORM.DIST(L2,0,1,TRUE))</f>
        <v>3406.6193465435863</v>
      </c>
      <c r="N2" s="3">
        <f>EXP(-E2*J2)*(G2*_xlfn.NORM.DIST(-L2,0,1,TRUE)-D2*_xlfn.NORM.DIST(-K2,0,1,TRUE))</f>
        <v>3.995937408398509E-5</v>
      </c>
      <c r="O2" s="3" t="b">
        <f>(M2-N2)=EXP(-E2*J2)*(D2-G2)</f>
        <v>1</v>
      </c>
    </row>
    <row r="3" spans="1:15" x14ac:dyDescent="0.3">
      <c r="A3" s="1">
        <v>45987</v>
      </c>
      <c r="B3" t="s">
        <v>6</v>
      </c>
      <c r="C3">
        <v>6812.61</v>
      </c>
      <c r="D3">
        <v>6814.83212</v>
      </c>
      <c r="E3" s="2">
        <v>4.0870840998296389E-2</v>
      </c>
      <c r="F3" s="1">
        <v>45992</v>
      </c>
      <c r="G3">
        <v>4087.5659999999998</v>
      </c>
      <c r="H3">
        <v>0.94142000000000015</v>
      </c>
      <c r="J3" s="3">
        <f t="shared" ref="J3:J66" si="0">(F3-A3)/365</f>
        <v>1.3698630136986301E-2</v>
      </c>
      <c r="K3" s="3">
        <f>(LN(D3/G3)+H3^2*J3/2)/(H3*SQRT(J3))</f>
        <v>4.694129690539433</v>
      </c>
      <c r="L3" s="3">
        <f>K3-H3*SQRT(J3)</f>
        <v>4.5839448137460517</v>
      </c>
      <c r="M3" s="3">
        <f>EXP(-E3*J3)*(D3*_xlfn.NORM.DIST(K3,0,1,TRUE)-G3*_xlfn.NORM.DIST(L3,0,1,TRUE))</f>
        <v>2725.7398227146168</v>
      </c>
      <c r="N3" s="3">
        <f>EXP(-E3*J3)*(G3*_xlfn.NORM.DIST(-L3,0,1,TRUE)-D3*_xlfn.NORM.DIST(-K3,0,1,TRUE))</f>
        <v>2.0219928666165971E-4</v>
      </c>
      <c r="O3" s="3" t="b">
        <f>(M3-N3)=EXP(-E3*J3)*(D3-G3)</f>
        <v>1</v>
      </c>
    </row>
    <row r="4" spans="1:15" x14ac:dyDescent="0.3">
      <c r="A4" s="1">
        <v>45987</v>
      </c>
      <c r="B4" t="s">
        <v>6</v>
      </c>
      <c r="C4">
        <v>6812.61</v>
      </c>
      <c r="D4">
        <v>6814.83212</v>
      </c>
      <c r="E4" s="2">
        <v>4.0870840998296389E-2</v>
      </c>
      <c r="F4" s="1">
        <v>45992</v>
      </c>
      <c r="G4">
        <v>4768.8269999999993</v>
      </c>
      <c r="H4">
        <v>0.73436599999999996</v>
      </c>
      <c r="J4" s="3">
        <f t="shared" si="0"/>
        <v>1.3698630136986301E-2</v>
      </c>
      <c r="K4" s="3">
        <f>(LN(D4/G4)+H4^2*J4/2)/(H4*SQRT(J4))</f>
        <v>4.1965153949330611</v>
      </c>
      <c r="L4" s="3">
        <f>K4-H4*SQRT(J4)</f>
        <v>4.1105643558312277</v>
      </c>
      <c r="M4" s="3">
        <f>EXP(-E4*J4)*(D4*_xlfn.NORM.DIST(K4,0,1,TRUE)-G4*_xlfn.NORM.DIST(L4,0,1,TRUE))</f>
        <v>2044.8616856076123</v>
      </c>
      <c r="N4" s="3">
        <f>EXP(-E4*J4)*(G4*_xlfn.NORM.DIST(-L4,0,1,TRUE)-D4*_xlfn.NORM.DIST(-K4,0,1,TRUE))</f>
        <v>1.7511611622227205E-3</v>
      </c>
      <c r="O4" s="3" t="b">
        <f>(M4-N4)=EXP(-E4*J4)*(D4-G4)</f>
        <v>1</v>
      </c>
    </row>
    <row r="5" spans="1:15" x14ac:dyDescent="0.3">
      <c r="A5" s="1">
        <v>45987</v>
      </c>
      <c r="B5" t="s">
        <v>6</v>
      </c>
      <c r="C5">
        <v>6812.61</v>
      </c>
      <c r="D5">
        <v>6814.83212</v>
      </c>
      <c r="E5" s="2">
        <v>4.0870840998296389E-2</v>
      </c>
      <c r="F5" s="1">
        <v>45992</v>
      </c>
      <c r="G5">
        <v>5450.0879999999997</v>
      </c>
      <c r="H5">
        <v>0.553844</v>
      </c>
      <c r="J5" s="3">
        <f t="shared" si="0"/>
        <v>1.3698630136986301E-2</v>
      </c>
      <c r="K5" s="3">
        <f>(LN(D5/G5)+H5^2*J5/2)/(H5*SQRT(J5))</f>
        <v>3.4798183821617106</v>
      </c>
      <c r="L5" s="3">
        <f>K5-H5*SQRT(J5)</f>
        <v>3.4149958450340168</v>
      </c>
      <c r="M5" s="3">
        <f>EXP(-E5*J5)*(D5*_xlfn.NORM.DIST(K5,0,1,TRUE)-G5*_xlfn.NORM.DIST(L5,0,1,TRUE))</f>
        <v>1364.0086629144714</v>
      </c>
      <c r="N5" s="3">
        <f>EXP(-E5*J5)*(G5*_xlfn.NORM.DIST(-L5,0,1,TRUE)-D5*_xlfn.NORM.DIST(-K5,0,1,TRUE))</f>
        <v>2.8414536902369864E-2</v>
      </c>
      <c r="O5" s="3" t="b">
        <f>(M5-N5)=EXP(-E5*J5)*(D5-G5)</f>
        <v>1</v>
      </c>
    </row>
    <row r="6" spans="1:15" x14ac:dyDescent="0.3">
      <c r="A6" s="1">
        <v>45987</v>
      </c>
      <c r="B6" t="s">
        <v>6</v>
      </c>
      <c r="C6">
        <v>6812.61</v>
      </c>
      <c r="D6">
        <v>6814.83212</v>
      </c>
      <c r="E6" s="2">
        <v>4.0870840998296389E-2</v>
      </c>
      <c r="F6" s="1">
        <v>45992</v>
      </c>
      <c r="G6">
        <v>6131.3490000000002</v>
      </c>
      <c r="H6">
        <v>0.31681799999999999</v>
      </c>
      <c r="J6" s="3">
        <f t="shared" si="0"/>
        <v>1.3698630136986301E-2</v>
      </c>
      <c r="K6" s="3">
        <f>(LN(D6/G6)+H6^2*J6/2)/(H6*SQRT(J6))</f>
        <v>2.868716332175798</v>
      </c>
      <c r="L6" s="3">
        <f>K6-H6*SQRT(J6)</f>
        <v>2.8316355900034145</v>
      </c>
      <c r="M6" s="3">
        <f>EXP(-E6*J6)*(D6*_xlfn.NORM.DIST(K6,0,1,TRUE)-G6*_xlfn.NORM.DIST(L6,0,1,TRUE))</f>
        <v>683.25442986432074</v>
      </c>
      <c r="N6" s="3">
        <f>EXP(-E6*J6)*(G6*_xlfn.NORM.DIST(-L6,0,1,TRUE)-D6*_xlfn.NORM.DIST(-K6,0,1,TRUE))</f>
        <v>0.15386755563269264</v>
      </c>
      <c r="O6" s="3" t="b">
        <f>(M6-N6)=EXP(-E6*J6)*(D6-G6)</f>
        <v>1</v>
      </c>
    </row>
    <row r="7" spans="1:15" x14ac:dyDescent="0.3">
      <c r="A7" s="1">
        <v>45987</v>
      </c>
      <c r="B7" t="s">
        <v>6</v>
      </c>
      <c r="C7">
        <v>6812.61</v>
      </c>
      <c r="D7">
        <v>6814.83212</v>
      </c>
      <c r="E7" s="2">
        <v>4.0870840998296389E-2</v>
      </c>
      <c r="F7" s="1">
        <v>45992</v>
      </c>
      <c r="G7">
        <v>6471.9794999999995</v>
      </c>
      <c r="H7">
        <v>0.19173100000000001</v>
      </c>
      <c r="J7" s="3">
        <f t="shared" si="0"/>
        <v>1.3698630136986301E-2</v>
      </c>
      <c r="K7" s="3">
        <f>(LN(D7/G7)+H7^2*J7/2)/(H7*SQRT(J7))</f>
        <v>2.3115081459278657</v>
      </c>
      <c r="L7" s="3">
        <f>K7-H7*SQRT(J7)</f>
        <v>2.2890677297348043</v>
      </c>
      <c r="M7" s="3">
        <f>EXP(-E7*J7)*(D7*_xlfn.NORM.DIST(K7,0,1,TRUE)-G7*_xlfn.NORM.DIST(L7,0,1,TRUE))</f>
        <v>343.20561629402818</v>
      </c>
      <c r="N7" s="3">
        <f>EXP(-E7*J7)*(G7*_xlfn.NORM.DIST(-L7,0,1,TRUE)-D7*_xlfn.NORM.DIST(-K7,0,1,TRUE))</f>
        <v>0.54489701978052196</v>
      </c>
      <c r="O7" s="3" t="b">
        <f>(M7-N7)=EXP(-E7*J7)*(D7-G7)</f>
        <v>1</v>
      </c>
    </row>
    <row r="8" spans="1:15" x14ac:dyDescent="0.3">
      <c r="A8" s="1">
        <v>45987</v>
      </c>
      <c r="B8" t="s">
        <v>6</v>
      </c>
      <c r="C8">
        <v>6812.61</v>
      </c>
      <c r="D8">
        <v>6814.83212</v>
      </c>
      <c r="E8" s="2">
        <v>4.0870840998296389E-2</v>
      </c>
      <c r="F8" s="1">
        <v>45992</v>
      </c>
      <c r="G8">
        <v>6812.61</v>
      </c>
      <c r="H8">
        <v>7.4245000000000005E-2</v>
      </c>
      <c r="J8" s="3">
        <f t="shared" si="0"/>
        <v>1.3698630136986301E-2</v>
      </c>
      <c r="K8" s="3">
        <f>(LN(D8/G8)+H8^2*J8/2)/(H8*SQRT(J8))</f>
        <v>4.1874757642273899E-2</v>
      </c>
      <c r="L8" s="3">
        <f>K8-H8*SQRT(J8)</f>
        <v>3.3185037668697182E-2</v>
      </c>
      <c r="M8" s="3">
        <f>EXP(-E8*J8)*(D8*_xlfn.NORM.DIST(K8,0,1,TRUE)-G8*_xlfn.NORM.DIST(L8,0,1,TRUE))</f>
        <v>24.734870681819405</v>
      </c>
      <c r="N8" s="3">
        <f>EXP(-E8*J8)*(G8*_xlfn.NORM.DIST(-L8,0,1,TRUE)-D8*_xlfn.NORM.DIST(-K8,0,1,TRUE))</f>
        <v>22.51399444201126</v>
      </c>
      <c r="O8" s="3" t="b">
        <f>(M8-N8)=EXP(-E8*J8)*(D8-G8)</f>
        <v>0</v>
      </c>
    </row>
    <row r="9" spans="1:15" x14ac:dyDescent="0.3">
      <c r="A9" s="1">
        <v>45987</v>
      </c>
      <c r="B9" t="s">
        <v>6</v>
      </c>
      <c r="C9">
        <v>6812.61</v>
      </c>
      <c r="D9">
        <v>6814.83212</v>
      </c>
      <c r="E9" s="2">
        <v>4.0870840998296389E-2</v>
      </c>
      <c r="F9" s="1">
        <v>45992</v>
      </c>
      <c r="G9">
        <v>7153.240499999999</v>
      </c>
      <c r="H9">
        <v>0.139518</v>
      </c>
      <c r="J9" s="3">
        <f t="shared" si="0"/>
        <v>1.3698630136986301E-2</v>
      </c>
      <c r="K9" s="3">
        <f>(LN(D9/G9)+H9^2*J9/2)/(H9*SQRT(J9))</f>
        <v>-2.9597458338365552</v>
      </c>
      <c r="L9" s="3">
        <f>K9-H9*SQRT(J9)</f>
        <v>-2.976075180611065</v>
      </c>
      <c r="M9" s="3">
        <f>EXP(-E9*J9)*(D9*_xlfn.NORM.DIST(K9,0,1,TRUE)-G9*_xlfn.NORM.DIST(L9,0,1,TRUE))</f>
        <v>4.8748566719224479E-2</v>
      </c>
      <c r="N9" s="3">
        <f>EXP(-E9*J9)*(G9*_xlfn.NORM.DIST(-L9,0,1,TRUE)-D9*_xlfn.NORM.DIST(-K9,0,1,TRUE))</f>
        <v>338.26771536135089</v>
      </c>
      <c r="O9" s="3" t="b">
        <f>(M9-N9)=EXP(-E9*J9)*(D9-G9)</f>
        <v>1</v>
      </c>
    </row>
    <row r="10" spans="1:15" x14ac:dyDescent="0.3">
      <c r="A10" s="1">
        <v>45987</v>
      </c>
      <c r="B10" t="s">
        <v>6</v>
      </c>
      <c r="C10">
        <v>6812.61</v>
      </c>
      <c r="D10">
        <v>6814.83212</v>
      </c>
      <c r="E10" s="2">
        <v>4.0870840998296389E-2</v>
      </c>
      <c r="F10" s="1">
        <v>45992</v>
      </c>
      <c r="G10">
        <v>7493.8710000000001</v>
      </c>
      <c r="H10">
        <v>0.22852700000000004</v>
      </c>
      <c r="J10" s="3">
        <f t="shared" si="0"/>
        <v>1.3698630136986301E-2</v>
      </c>
      <c r="K10" s="3">
        <f>(LN(D10/G10)+H10^2*J10/2)/(H10*SQRT(J10))</f>
        <v>-3.5378222836546351</v>
      </c>
      <c r="L10" s="3">
        <f>K10-H10*SQRT(J10)</f>
        <v>-3.5645693458999252</v>
      </c>
      <c r="M10" s="3">
        <f>EXP(-E10*J10)*(D10*_xlfn.NORM.DIST(K10,0,1,TRUE)-G10*_xlfn.NORM.DIST(L10,0,1,TRUE))</f>
        <v>9.1019827107596957E-3</v>
      </c>
      <c r="N10" s="3">
        <f>EXP(-E10*J10)*(G10*_xlfn.NORM.DIST(-L10,0,1,TRUE)-D10*_xlfn.NORM.DIST(-K10,0,1,TRUE))</f>
        <v>678.66791181178382</v>
      </c>
      <c r="O10" s="3" t="b">
        <f>(M10-N10)=EXP(-E10*J10)*(D10-G10)</f>
        <v>0</v>
      </c>
    </row>
    <row r="11" spans="1:15" x14ac:dyDescent="0.3">
      <c r="A11" s="1">
        <v>45987</v>
      </c>
      <c r="B11" t="s">
        <v>6</v>
      </c>
      <c r="C11">
        <v>6812.61</v>
      </c>
      <c r="D11">
        <v>6814.83212</v>
      </c>
      <c r="E11" s="2">
        <v>4.0870840998296389E-2</v>
      </c>
      <c r="F11" s="1">
        <v>45992</v>
      </c>
      <c r="G11">
        <v>8175.1319999999996</v>
      </c>
      <c r="H11">
        <v>0.34951300000000002</v>
      </c>
      <c r="J11" s="3">
        <f t="shared" si="0"/>
        <v>1.3698630136986301E-2</v>
      </c>
      <c r="K11" s="3">
        <f>(LN(D11/G11)+H11^2*J11/2)/(H11*SQRT(J11))</f>
        <v>-4.4285071581507705</v>
      </c>
      <c r="L11" s="3">
        <f>K11-H11*SQRT(J11)</f>
        <v>-4.4694145606307316</v>
      </c>
      <c r="M11" s="3">
        <f>EXP(-E11*J11)*(D11*_xlfn.NORM.DIST(K11,0,1,TRUE)-G11*_xlfn.NORM.DIST(L11,0,1,TRUE))</f>
        <v>2.7158333768194495E-4</v>
      </c>
      <c r="N11" s="3">
        <f>EXP(-E11*J11)*(G11*_xlfn.NORM.DIST(-L11,0,1,TRUE)-D11*_xlfn.NORM.DIST(-K11,0,1,TRUE))</f>
        <v>1359.5387674812916</v>
      </c>
      <c r="O11" s="3" t="b">
        <f>(M11-N11)=EXP(-E11*J11)*(D11-G11)</f>
        <v>1</v>
      </c>
    </row>
    <row r="12" spans="1:15" x14ac:dyDescent="0.3">
      <c r="A12" s="1">
        <v>45987</v>
      </c>
      <c r="B12" t="s">
        <v>6</v>
      </c>
      <c r="C12">
        <v>6812.61</v>
      </c>
      <c r="D12">
        <v>6814.83212</v>
      </c>
      <c r="E12" s="2">
        <v>4.0870840998296389E-2</v>
      </c>
      <c r="F12" s="1">
        <v>45992</v>
      </c>
      <c r="G12">
        <v>8856.393</v>
      </c>
      <c r="H12">
        <v>0.45430700000000002</v>
      </c>
      <c r="J12" s="3">
        <f t="shared" si="0"/>
        <v>1.3698630136986301E-2</v>
      </c>
      <c r="K12" s="3">
        <f>(LN(D12/G12)+H12^2*J12/2)/(H12*SQRT(J12))</f>
        <v>-4.9014796293520302</v>
      </c>
      <c r="L12" s="3">
        <f>K12-H12*SQRT(J12)</f>
        <v>-4.9546522418112628</v>
      </c>
      <c r="M12" s="3">
        <f>EXP(-E12*J12)*(D12*_xlfn.NORM.DIST(K12,0,1,TRUE)-G12*_xlfn.NORM.DIST(L12,0,1,TRUE))</f>
        <v>3.2370563405096282E-5</v>
      </c>
      <c r="N12" s="3">
        <f>EXP(-E12*J12)*(G12*_xlfn.NORM.DIST(-L12,0,1,TRUE)-D12*_xlfn.NORM.DIST(-K12,0,1,TRUE))</f>
        <v>2040.4182143373991</v>
      </c>
      <c r="O12" s="3" t="b">
        <f>(M12-N12)=EXP(-E12*J12)*(D12-G12)</f>
        <v>1</v>
      </c>
    </row>
    <row r="13" spans="1:15" x14ac:dyDescent="0.3">
      <c r="A13" s="1">
        <v>45987</v>
      </c>
      <c r="B13" t="s">
        <v>6</v>
      </c>
      <c r="C13">
        <v>6812.61</v>
      </c>
      <c r="D13">
        <v>6814.83212</v>
      </c>
      <c r="E13" s="2">
        <v>4.0870840998296389E-2</v>
      </c>
      <c r="F13" s="1">
        <v>45992</v>
      </c>
      <c r="G13">
        <v>9537.6539999999986</v>
      </c>
      <c r="H13">
        <v>0.55125199999999996</v>
      </c>
      <c r="J13" s="3">
        <f t="shared" si="0"/>
        <v>1.3698630136986301E-2</v>
      </c>
      <c r="K13" s="3">
        <f>(LN(D13/G13)+H13^2*J13/2)/(H13*SQRT(J13))</f>
        <v>-5.1777598681854577</v>
      </c>
      <c r="L13" s="3">
        <f>K13-H13*SQRT(J13)</f>
        <v>-5.2422790346596191</v>
      </c>
      <c r="M13" s="3">
        <f>EXP(-E13*J13)*(D13*_xlfn.NORM.DIST(K13,0,1,TRUE)-G13*_xlfn.NORM.DIST(L13,0,1,TRUE))</f>
        <v>8.8238022900220014E-6</v>
      </c>
      <c r="N13" s="3">
        <f>EXP(-E13*J13)*(G13*_xlfn.NORM.DIST(-L13,0,1,TRUE)-D13*_xlfn.NORM.DIST(-K13,0,1,TRUE))</f>
        <v>2721.2978768595185</v>
      </c>
      <c r="O13" s="3" t="b">
        <f>(M13-N13)=EXP(-E13*J13)*(D13-G13)</f>
        <v>0</v>
      </c>
    </row>
    <row r="14" spans="1:15" x14ac:dyDescent="0.3">
      <c r="A14" s="1">
        <v>45987</v>
      </c>
      <c r="B14" t="s">
        <v>6</v>
      </c>
      <c r="C14">
        <v>6812.61</v>
      </c>
      <c r="D14">
        <v>6814.83212</v>
      </c>
      <c r="E14" s="2">
        <v>4.0870840998296389E-2</v>
      </c>
      <c r="F14" s="1">
        <v>45992</v>
      </c>
      <c r="G14">
        <v>10218.915000000001</v>
      </c>
      <c r="H14">
        <v>0.63944599999999996</v>
      </c>
      <c r="J14" s="3">
        <f t="shared" si="0"/>
        <v>1.3698630136986301E-2</v>
      </c>
      <c r="K14" s="3">
        <f>(LN(D14/G14)+H14^2*J14/2)/(H14*SQRT(J14))</f>
        <v>-5.3758729403621031</v>
      </c>
      <c r="L14" s="3">
        <f>K14-H14*SQRT(J14)</f>
        <v>-5.4507144337720801</v>
      </c>
      <c r="M14" s="3">
        <f>EXP(-E14*J14)*(D14*_xlfn.NORM.DIST(K14,0,1,TRUE)-G14*_xlfn.NORM.DIST(L14,0,1,TRUE))</f>
        <v>3.3552938262840946E-6</v>
      </c>
      <c r="N14" s="3">
        <f>EXP(-E14*J14)*(G14*_xlfn.NORM.DIST(-L14,0,1,TRUE)-D14*_xlfn.NORM.DIST(-K14,0,1,TRUE))</f>
        <v>3402.1775574598928</v>
      </c>
      <c r="O14" s="3" t="b">
        <f>(M14-N14)=EXP(-E14*J14)*(D14-G14)</f>
        <v>1</v>
      </c>
    </row>
    <row r="15" spans="1:15" x14ac:dyDescent="0.3">
      <c r="A15" s="1">
        <v>45987</v>
      </c>
      <c r="B15" t="s">
        <v>6</v>
      </c>
      <c r="C15">
        <v>6812.61</v>
      </c>
      <c r="D15">
        <v>6818.2365300000001</v>
      </c>
      <c r="E15" s="2">
        <v>4.1002800074782055E-2</v>
      </c>
      <c r="F15" s="1">
        <v>45996</v>
      </c>
      <c r="G15">
        <v>3406.3049999999998</v>
      </c>
      <c r="H15">
        <v>1.0478590000000001</v>
      </c>
      <c r="J15" s="3">
        <f t="shared" si="0"/>
        <v>2.4657534246575342E-2</v>
      </c>
      <c r="K15" s="3">
        <f>(LN(D15/G15)+H15^2*J15/2)/(H15*SQRT(J15))</f>
        <v>4.2998648740745642</v>
      </c>
      <c r="L15" s="3">
        <f>K15-H15*SQRT(J15)</f>
        <v>4.1353225336441266</v>
      </c>
      <c r="M15" s="3">
        <f>EXP(-E15*J15)*(D15*_xlfn.NORM.DIST(K15,0,1,TRUE)-G15*_xlfn.NORM.DIST(L15,0,1,TRUE))</f>
        <v>3408.4858196826303</v>
      </c>
      <c r="N15" s="3">
        <f>EXP(-E15*J15)*(G15*_xlfn.NORM.DIST(-L15,0,1,TRUE)-D15*_xlfn.NORM.DIST(-K15,0,1,TRUE))</f>
        <v>2.1046005702016093E-3</v>
      </c>
      <c r="O15" s="3" t="b">
        <f>(M15-N15)=EXP(-E15*J15)*(D15-G15)</f>
        <v>1</v>
      </c>
    </row>
    <row r="16" spans="1:15" x14ac:dyDescent="0.3">
      <c r="A16" s="1">
        <v>45987</v>
      </c>
      <c r="B16" t="s">
        <v>6</v>
      </c>
      <c r="C16">
        <v>6812.61</v>
      </c>
      <c r="D16">
        <v>6818.2365300000001</v>
      </c>
      <c r="E16" s="2">
        <v>4.1002800074782055E-2</v>
      </c>
      <c r="F16" s="1">
        <v>45996</v>
      </c>
      <c r="G16">
        <v>4087.5659999999998</v>
      </c>
      <c r="H16">
        <v>0.90715599999999996</v>
      </c>
      <c r="J16" s="3">
        <f t="shared" si="0"/>
        <v>2.4657534246575342E-2</v>
      </c>
      <c r="K16" s="3">
        <f>(LN(D16/G16)+H16^2*J16/2)/(H16*SQRT(J16))</f>
        <v>3.6630657226285175</v>
      </c>
      <c r="L16" s="3">
        <f>K16-H16*SQRT(J16)</f>
        <v>3.5206175770521431</v>
      </c>
      <c r="M16" s="3">
        <f>EXP(-E16*J16)*(D16*_xlfn.NORM.DIST(K16,0,1,TRUE)-G16*_xlfn.NORM.DIST(L16,0,1,TRUE))</f>
        <v>2727.9414449509773</v>
      </c>
      <c r="N16" s="3">
        <f>EXP(-E16*J16)*(G16*_xlfn.NORM.DIST(-L16,0,1,TRUE)-D16*_xlfn.NORM.DIST(-K16,0,1,TRUE))</f>
        <v>3.0304026206466085E-2</v>
      </c>
      <c r="O16" s="3" t="b">
        <f>(M16-N16)=EXP(-E16*J16)*(D16-G16)</f>
        <v>1</v>
      </c>
    </row>
    <row r="17" spans="1:15" x14ac:dyDescent="0.3">
      <c r="A17" s="1">
        <v>45987</v>
      </c>
      <c r="B17" t="s">
        <v>6</v>
      </c>
      <c r="C17">
        <v>6812.61</v>
      </c>
      <c r="D17">
        <v>6818.2365300000001</v>
      </c>
      <c r="E17" s="2">
        <v>4.1002800074782055E-2</v>
      </c>
      <c r="F17" s="1">
        <v>45996</v>
      </c>
      <c r="G17">
        <v>4768.8269999999993</v>
      </c>
      <c r="H17">
        <v>0.67222999999999999</v>
      </c>
      <c r="J17" s="3">
        <f t="shared" si="0"/>
        <v>2.4657534246575342E-2</v>
      </c>
      <c r="K17" s="3">
        <f>(LN(D17/G17)+H17^2*J17/2)/(H17*SQRT(J17))</f>
        <v>3.4395354625095256</v>
      </c>
      <c r="L17" s="3">
        <f>K17-H17*SQRT(J17)</f>
        <v>3.3339770834646796</v>
      </c>
      <c r="M17" s="3">
        <f>EXP(-E17*J17)*(D17*_xlfn.NORM.DIST(K17,0,1,TRUE)-G17*_xlfn.NORM.DIST(L17,0,1,TRUE))</f>
        <v>2047.3933572089779</v>
      </c>
      <c r="N17" s="3">
        <f>EXP(-E17*J17)*(G17*_xlfn.NORM.DIST(-L17,0,1,TRUE)-D17*_xlfn.NORM.DIST(-K17,0,1,TRUE))</f>
        <v>5.4790441496753182E-2</v>
      </c>
      <c r="O17" s="3" t="b">
        <f>(M17-N17)=EXP(-E17*J17)*(D17-G17)</f>
        <v>1</v>
      </c>
    </row>
    <row r="18" spans="1:15" x14ac:dyDescent="0.3">
      <c r="A18" s="1">
        <v>45987</v>
      </c>
      <c r="B18" t="s">
        <v>6</v>
      </c>
      <c r="C18">
        <v>6812.61</v>
      </c>
      <c r="D18">
        <v>6818.2365300000001</v>
      </c>
      <c r="E18" s="2">
        <v>4.1002800074782055E-2</v>
      </c>
      <c r="F18" s="1">
        <v>45996</v>
      </c>
      <c r="G18">
        <v>5450.0879999999997</v>
      </c>
      <c r="H18">
        <v>0.48826000000000003</v>
      </c>
      <c r="J18" s="3">
        <f t="shared" si="0"/>
        <v>2.4657534246575342E-2</v>
      </c>
      <c r="K18" s="3">
        <f>(LN(D18/G18)+H18^2*J18/2)/(H18*SQRT(J18))</f>
        <v>2.9595408463019899</v>
      </c>
      <c r="L18" s="3">
        <f>K18-H18*SQRT(J18)</f>
        <v>2.8828707569688206</v>
      </c>
      <c r="M18" s="3">
        <f>EXP(-E18*J18)*(D18*_xlfn.NORM.DIST(K18,0,1,TRUE)-G18*_xlfn.NORM.DIST(L18,0,1,TRUE))</f>
        <v>1367.0008907648901</v>
      </c>
      <c r="N18" s="3">
        <f>EXP(-E18*J18)*(G18*_xlfn.NORM.DIST(-L18,0,1,TRUE)-D18*_xlfn.NORM.DIST(-K18,0,1,TRUE))</f>
        <v>0.23489815469760469</v>
      </c>
      <c r="O18" s="3" t="b">
        <f>(M18-N18)=EXP(-E18*J18)*(D18-G18)</f>
        <v>1</v>
      </c>
    </row>
    <row r="19" spans="1:15" x14ac:dyDescent="0.3">
      <c r="A19" s="1">
        <v>45987</v>
      </c>
      <c r="B19" t="s">
        <v>6</v>
      </c>
      <c r="C19">
        <v>6812.61</v>
      </c>
      <c r="D19">
        <v>6818.2365300000001</v>
      </c>
      <c r="E19" s="2">
        <v>4.1002800074782055E-2</v>
      </c>
      <c r="F19" s="1">
        <v>45996</v>
      </c>
      <c r="G19">
        <v>6131.3490000000002</v>
      </c>
      <c r="H19">
        <v>0.28969899999999998</v>
      </c>
      <c r="J19" s="3">
        <f t="shared" si="0"/>
        <v>2.4657534246575342E-2</v>
      </c>
      <c r="K19" s="3">
        <f>(LN(D19/G19)+H19^2*J19/2)/(H19*SQRT(J19))</f>
        <v>2.3569865923734161</v>
      </c>
      <c r="L19" s="3">
        <f>K19-H19*SQRT(J19)</f>
        <v>2.3114959762882776</v>
      </c>
      <c r="M19" s="3">
        <f>EXP(-E19*J19)*(D19*_xlfn.NORM.DIST(K19,0,1,TRUE)-G19*_xlfn.NORM.DIST(L19,0,1,TRUE))</f>
        <v>687.16595425337562</v>
      </c>
      <c r="N19" s="3">
        <f>EXP(-E19*J19)*(G19*_xlfn.NORM.DIST(-L19,0,1,TRUE)-D19*_xlfn.NORM.DIST(-K19,0,1,TRUE))</f>
        <v>0.97253580047410948</v>
      </c>
      <c r="O19" s="3" t="b">
        <f>(M19-N19)=EXP(-E19*J19)*(D19-G19)</f>
        <v>0</v>
      </c>
    </row>
    <row r="20" spans="1:15" x14ac:dyDescent="0.3">
      <c r="A20" s="1">
        <v>45987</v>
      </c>
      <c r="B20" t="s">
        <v>6</v>
      </c>
      <c r="C20">
        <v>6812.61</v>
      </c>
      <c r="D20">
        <v>6818.2365300000001</v>
      </c>
      <c r="E20" s="2">
        <v>4.1002800074782055E-2</v>
      </c>
      <c r="F20" s="1">
        <v>45996</v>
      </c>
      <c r="G20">
        <v>6471.9794999999995</v>
      </c>
      <c r="H20">
        <v>0.194025</v>
      </c>
      <c r="J20" s="3">
        <f t="shared" si="0"/>
        <v>2.4657534246575342E-2</v>
      </c>
      <c r="K20" s="3">
        <f>(LN(D20/G20)+H20^2*J20/2)/(H20*SQRT(J20))</f>
        <v>1.7258882147967274</v>
      </c>
      <c r="L20" s="3">
        <f>K20-H20*SQRT(J20)</f>
        <v>1.6954210168225574</v>
      </c>
      <c r="M20" s="3">
        <f>EXP(-E20*J20)*(D20*_xlfn.NORM.DIST(K20,0,1,TRUE)-G20*_xlfn.NORM.DIST(L20,0,1,TRUE))</f>
        <v>349.50939613281565</v>
      </c>
      <c r="N20" s="3">
        <f>EXP(-E20*J20)*(G20*_xlfn.NORM.DIST(-L20,0,1,TRUE)-D20*_xlfn.NORM.DIST(-K20,0,1,TRUE))</f>
        <v>3.6022647585574878</v>
      </c>
      <c r="O20" s="3" t="b">
        <f>(M20-N20)=EXP(-E20*J20)*(D20-G20)</f>
        <v>1</v>
      </c>
    </row>
    <row r="21" spans="1:15" x14ac:dyDescent="0.3">
      <c r="A21" s="1">
        <v>45987</v>
      </c>
      <c r="B21" t="s">
        <v>6</v>
      </c>
      <c r="C21">
        <v>6812.61</v>
      </c>
      <c r="D21">
        <v>6818.2365300000001</v>
      </c>
      <c r="E21" s="2">
        <v>4.1002800074782055E-2</v>
      </c>
      <c r="F21" s="1">
        <v>45996</v>
      </c>
      <c r="G21">
        <v>6812.61</v>
      </c>
      <c r="H21">
        <v>0.111999</v>
      </c>
      <c r="J21" s="3">
        <f t="shared" si="0"/>
        <v>2.4657534246575342E-2</v>
      </c>
      <c r="K21" s="3">
        <f>(LN(D21/G21)+H21^2*J21/2)/(H21*SQRT(J21))</f>
        <v>5.5735148786028407E-2</v>
      </c>
      <c r="L21" s="3">
        <f>K21-H21*SQRT(J21)</f>
        <v>3.8148262014174004E-2</v>
      </c>
      <c r="M21" s="3">
        <f>EXP(-E21*J21)*(D21*_xlfn.NORM.DIST(K21,0,1,TRUE)-G21*_xlfn.NORM.DIST(L21,0,1,TRUE))</f>
        <v>50.632155173517944</v>
      </c>
      <c r="N21" s="3">
        <f>EXP(-E21*J21)*(G21*_xlfn.NORM.DIST(-L21,0,1,TRUE)-D21*_xlfn.NORM.DIST(-K21,0,1,TRUE))</f>
        <v>45.011310877904613</v>
      </c>
      <c r="O21" s="3" t="b">
        <f>(M21-N21)=EXP(-E21*J21)*(D21-G21)</f>
        <v>0</v>
      </c>
    </row>
    <row r="22" spans="1:15" x14ac:dyDescent="0.3">
      <c r="A22" s="1">
        <v>45987</v>
      </c>
      <c r="B22" t="s">
        <v>6</v>
      </c>
      <c r="C22">
        <v>6812.61</v>
      </c>
      <c r="D22">
        <v>6818.2365300000001</v>
      </c>
      <c r="E22" s="2">
        <v>4.1002800074782055E-2</v>
      </c>
      <c r="F22" s="1">
        <v>45996</v>
      </c>
      <c r="G22">
        <v>7153.240499999999</v>
      </c>
      <c r="H22">
        <v>0.120836</v>
      </c>
      <c r="J22" s="3">
        <f t="shared" si="0"/>
        <v>2.4657534246575342E-2</v>
      </c>
      <c r="K22" s="3">
        <f>(LN(D22/G22)+H22^2*J22/2)/(H22*SQRT(J22))</f>
        <v>-2.5183535119589404</v>
      </c>
      <c r="L22" s="3">
        <f>K22-H22*SQRT(J22)</f>
        <v>-2.5373280478919735</v>
      </c>
      <c r="M22" s="3">
        <f>EXP(-E22*J22)*(D22*_xlfn.NORM.DIST(K22,0,1,TRUE)-G22*_xlfn.NORM.DIST(L22,0,1,TRUE))</f>
        <v>0.2432895573627426</v>
      </c>
      <c r="N22" s="3">
        <f>EXP(-E22*J22)*(G22*_xlfn.NORM.DIST(-L22,0,1,TRUE)-D22*_xlfn.NORM.DIST(-K22,0,1,TRUE))</f>
        <v>334.90873234039418</v>
      </c>
      <c r="O22" s="3" t="b">
        <f>(M22-N22)=EXP(-E22*J22)*(D22-G22)</f>
        <v>1</v>
      </c>
    </row>
    <row r="23" spans="1:15" x14ac:dyDescent="0.3">
      <c r="A23" s="1">
        <v>45987</v>
      </c>
      <c r="B23" t="s">
        <v>6</v>
      </c>
      <c r="C23">
        <v>6812.61</v>
      </c>
      <c r="D23">
        <v>6818.2365300000001</v>
      </c>
      <c r="E23" s="2">
        <v>4.1002800074782055E-2</v>
      </c>
      <c r="F23" s="1">
        <v>45996</v>
      </c>
      <c r="G23">
        <v>7493.8710000000001</v>
      </c>
      <c r="H23">
        <v>0.19612400000000002</v>
      </c>
      <c r="J23" s="3">
        <f t="shared" si="0"/>
        <v>2.4657534246575342E-2</v>
      </c>
      <c r="K23" s="3">
        <f>(LN(D23/G23)+H23^2*J23/2)/(H23*SQRT(J23))</f>
        <v>-3.0526030630474792</v>
      </c>
      <c r="L23" s="3">
        <f>K23-H23*SQRT(J23)</f>
        <v>-3.0833998610657041</v>
      </c>
      <c r="M23" s="3">
        <f>EXP(-E23*J23)*(D23*_xlfn.NORM.DIST(K23,0,1,TRUE)-G23*_xlfn.NORM.DIST(L23,0,1,TRUE))</f>
        <v>6.5954619731160541E-2</v>
      </c>
      <c r="N23" s="3">
        <f>EXP(-E23*J23)*(G23*_xlfn.NORM.DIST(-L23,0,1,TRUE)-D23*_xlfn.NORM.DIST(-K23,0,1,TRUE))</f>
        <v>675.0176844814082</v>
      </c>
      <c r="O23" s="3" t="b">
        <f>(M23-N23)=EXP(-E23*J23)*(D23-G23)</f>
        <v>1</v>
      </c>
    </row>
    <row r="24" spans="1:15" x14ac:dyDescent="0.3">
      <c r="A24" s="1">
        <v>45987</v>
      </c>
      <c r="B24" t="s">
        <v>6</v>
      </c>
      <c r="C24">
        <v>6812.61</v>
      </c>
      <c r="D24">
        <v>6818.2365300000001</v>
      </c>
      <c r="E24" s="2">
        <v>4.1002800074782055E-2</v>
      </c>
      <c r="F24" s="1">
        <v>45996</v>
      </c>
      <c r="G24">
        <v>8175.1319999999996</v>
      </c>
      <c r="H24">
        <v>0.29303699999999999</v>
      </c>
      <c r="J24" s="3">
        <f t="shared" si="0"/>
        <v>2.4657534246575342E-2</v>
      </c>
      <c r="K24" s="3">
        <f>(LN(D24/G24)+H24^2*J24/2)/(H24*SQRT(J24))</f>
        <v>-3.921291091834866</v>
      </c>
      <c r="L24" s="3">
        <f>K24-H24*SQRT(J24)</f>
        <v>-3.9673058646360864</v>
      </c>
      <c r="M24" s="3">
        <f>EXP(-E24*J24)*(D24*_xlfn.NORM.DIST(K24,0,1,TRUE)-G24*_xlfn.NORM.DIST(L24,0,1,TRUE))</f>
        <v>3.1337427958824425E-3</v>
      </c>
      <c r="N24" s="3">
        <f>EXP(-E24*J24)*(G24*_xlfn.NORM.DIST(-L24,0,1,TRUE)-D24*_xlfn.NORM.DIST(-K24,0,1,TRUE))</f>
        <v>1355.5274377617625</v>
      </c>
      <c r="O24" s="3" t="b">
        <f>(M24-N24)=EXP(-E24*J24)*(D24-G24)</f>
        <v>1</v>
      </c>
    </row>
    <row r="25" spans="1:15" x14ac:dyDescent="0.3">
      <c r="A25" s="1">
        <v>45987</v>
      </c>
      <c r="B25" t="s">
        <v>6</v>
      </c>
      <c r="C25">
        <v>6812.61</v>
      </c>
      <c r="D25">
        <v>6818.2365300000001</v>
      </c>
      <c r="E25" s="2">
        <v>4.1002800074782055E-2</v>
      </c>
      <c r="F25" s="1">
        <v>45996</v>
      </c>
      <c r="G25">
        <v>8856.393</v>
      </c>
      <c r="H25">
        <v>0.36671500000000001</v>
      </c>
      <c r="J25" s="3">
        <f t="shared" si="0"/>
        <v>2.4657534246575342E-2</v>
      </c>
      <c r="K25" s="3">
        <f>(LN(D25/G25)+H25^2*J25/2)/(H25*SQRT(J25))</f>
        <v>-4.5130546118395571</v>
      </c>
      <c r="L25" s="3">
        <f>K25-H25*SQRT(J25)</f>
        <v>-4.5706388329713583</v>
      </c>
      <c r="M25" s="3">
        <f>EXP(-E25*J25)*(D25*_xlfn.NORM.DIST(K25,0,1,TRUE)-G25*_xlfn.NORM.DIST(L25,0,1,TRUE))</f>
        <v>2.5255321493606692E-4</v>
      </c>
      <c r="N25" s="3">
        <f>EXP(-E25*J25)*(G25*_xlfn.NORM.DIST(-L25,0,1,TRUE)-D25*_xlfn.NORM.DIST(-K25,0,1,TRUE))</f>
        <v>2036.0971307294701</v>
      </c>
      <c r="O25" s="3" t="b">
        <f>(M25-N25)=EXP(-E25*J25)*(D25-G25)</f>
        <v>1</v>
      </c>
    </row>
    <row r="26" spans="1:15" x14ac:dyDescent="0.3">
      <c r="A26" s="1">
        <v>45987</v>
      </c>
      <c r="B26" t="s">
        <v>6</v>
      </c>
      <c r="C26">
        <v>6812.61</v>
      </c>
      <c r="D26">
        <v>6818.2365300000001</v>
      </c>
      <c r="E26" s="2">
        <v>4.1002800074782055E-2</v>
      </c>
      <c r="F26" s="1">
        <v>45996</v>
      </c>
      <c r="G26">
        <v>9537.6539999999986</v>
      </c>
      <c r="H26">
        <v>0.43859200000000004</v>
      </c>
      <c r="J26" s="3">
        <f t="shared" si="0"/>
        <v>2.4657534246575342E-2</v>
      </c>
      <c r="K26" s="3">
        <f>(LN(D26/G26)+H26^2*J26/2)/(H26*SQRT(J26))</f>
        <v>-4.8391302682066657</v>
      </c>
      <c r="L26" s="3">
        <f>K26-H26*SQRT(J26)</f>
        <v>-4.9080011317236716</v>
      </c>
      <c r="M26" s="3">
        <f>EXP(-E26*J26)*(D26*_xlfn.NORM.DIST(K26,0,1,TRUE)-G26*_xlfn.NORM.DIST(L26,0,1,TRUE))</f>
        <v>5.795766131578241E-5</v>
      </c>
      <c r="N26" s="3">
        <f>EXP(-E26*J26)*(G26*_xlfn.NORM.DIST(-L26,0,1,TRUE)-D26*_xlfn.NORM.DIST(-K26,0,1,TRUE))</f>
        <v>2716.6695102912045</v>
      </c>
      <c r="O26" s="3" t="b">
        <f>(M26-N26)=EXP(-E26*J26)*(D26-G26)</f>
        <v>1</v>
      </c>
    </row>
    <row r="27" spans="1:15" x14ac:dyDescent="0.3">
      <c r="A27" s="1">
        <v>45987</v>
      </c>
      <c r="B27" t="s">
        <v>6</v>
      </c>
      <c r="C27">
        <v>6812.61</v>
      </c>
      <c r="D27">
        <v>6818.2365300000001</v>
      </c>
      <c r="E27" s="2">
        <v>4.1002800074782055E-2</v>
      </c>
      <c r="F27" s="1">
        <v>45996</v>
      </c>
      <c r="G27">
        <v>10218.915000000001</v>
      </c>
      <c r="H27">
        <v>0.50570099999999996</v>
      </c>
      <c r="J27" s="3">
        <f t="shared" si="0"/>
        <v>2.4657534246575342E-2</v>
      </c>
      <c r="K27" s="3">
        <f>(LN(D27/G27)+H27^2*J27/2)/(H27*SQRT(J27))</f>
        <v>-5.0559468123336355</v>
      </c>
      <c r="L27" s="3">
        <f>K27-H27*SQRT(J27)</f>
        <v>-5.1353556126569737</v>
      </c>
      <c r="M27" s="3">
        <f>EXP(-E27*J27)*(D27*_xlfn.NORM.DIST(K27,0,1,TRUE)-G27*_xlfn.NORM.DIST(L27,0,1,TRUE))</f>
        <v>2.1090478591025463E-5</v>
      </c>
      <c r="N27" s="3">
        <f>EXP(-E27*J27)*(G27*_xlfn.NORM.DIST(-L27,0,1,TRUE)-D27*_xlfn.NORM.DIST(-K27,0,1,TRUE))</f>
        <v>3397.2420475813151</v>
      </c>
      <c r="O27" s="3" t="b">
        <f>(M27-N27)=EXP(-E27*J27)*(D27-G27)</f>
        <v>1</v>
      </c>
    </row>
    <row r="28" spans="1:15" x14ac:dyDescent="0.3">
      <c r="A28" s="1">
        <v>45987</v>
      </c>
      <c r="B28" t="s">
        <v>6</v>
      </c>
      <c r="C28">
        <v>6812.61</v>
      </c>
      <c r="D28">
        <v>6822.62565</v>
      </c>
      <c r="E28" s="2">
        <v>4.0682698898265354E-2</v>
      </c>
      <c r="F28" s="1">
        <v>46003</v>
      </c>
      <c r="G28">
        <v>3406.3049999999998</v>
      </c>
      <c r="H28">
        <v>0.95762599999999987</v>
      </c>
      <c r="J28" s="3">
        <f t="shared" si="0"/>
        <v>4.3835616438356165E-2</v>
      </c>
      <c r="K28" s="3">
        <f>(LN(D28/G28)+H28^2*J28/2)/(H28*SQRT(J28))</f>
        <v>3.5647081428544203</v>
      </c>
      <c r="L28" s="3">
        <f>K28-H28*SQRT(J28)</f>
        <v>3.3642103999366699</v>
      </c>
      <c r="M28" s="3">
        <f>EXP(-E28*J28)*(D28*_xlfn.NORM.DIST(K28,0,1,TRUE)-G28*_xlfn.NORM.DIST(L28,0,1,TRUE))</f>
        <v>3410.2982461251408</v>
      </c>
      <c r="N28" s="3">
        <f>EXP(-E28*J28)*(G28*_xlfn.NORM.DIST(-L28,0,1,TRUE)-D28*_xlfn.NORM.DIST(-K28,0,1,TRUE))</f>
        <v>6.4666298079989748E-2</v>
      </c>
      <c r="O28" s="3" t="b">
        <f>(M28-N28)=EXP(-E28*J28)*(D28-G28)</f>
        <v>1</v>
      </c>
    </row>
    <row r="29" spans="1:15" x14ac:dyDescent="0.3">
      <c r="A29" s="1">
        <v>45987</v>
      </c>
      <c r="B29" t="s">
        <v>6</v>
      </c>
      <c r="C29">
        <v>6812.61</v>
      </c>
      <c r="D29">
        <v>6822.62565</v>
      </c>
      <c r="E29" s="2">
        <v>4.0682698898265354E-2</v>
      </c>
      <c r="F29" s="1">
        <v>46003</v>
      </c>
      <c r="G29">
        <v>4087.5659999999998</v>
      </c>
      <c r="H29">
        <v>0.75612199999999996</v>
      </c>
      <c r="J29" s="3">
        <f t="shared" si="0"/>
        <v>4.3835616438356165E-2</v>
      </c>
      <c r="K29" s="3">
        <f>(LN(D29/G29)+H29^2*J29/2)/(H29*SQRT(J29))</f>
        <v>3.3151986008125776</v>
      </c>
      <c r="L29" s="3">
        <f>K29-H29*SQRT(J29)</f>
        <v>3.1568896635338746</v>
      </c>
      <c r="M29" s="3">
        <f>EXP(-E29*J29)*(D29*_xlfn.NORM.DIST(K29,0,1,TRUE)-G29*_xlfn.NORM.DIST(L29,0,1,TRUE))</f>
        <v>2730.3212213847191</v>
      </c>
      <c r="N29" s="3">
        <f>EXP(-E29*J29)*(G29*_xlfn.NORM.DIST(-L29,0,1,TRUE)-D29*_xlfn.NORM.DIST(-K29,0,1,TRUE))</f>
        <v>0.13479662390193123</v>
      </c>
      <c r="O29" s="3" t="b">
        <f>(M29-N29)=EXP(-E29*J29)*(D29-G29)</f>
        <v>1</v>
      </c>
    </row>
    <row r="30" spans="1:15" x14ac:dyDescent="0.3">
      <c r="A30" s="1">
        <v>45987</v>
      </c>
      <c r="B30" t="s">
        <v>6</v>
      </c>
      <c r="C30">
        <v>6812.61</v>
      </c>
      <c r="D30">
        <v>6822.62565</v>
      </c>
      <c r="E30" s="2">
        <v>4.0682698898265354E-2</v>
      </c>
      <c r="F30" s="1">
        <v>46003</v>
      </c>
      <c r="G30">
        <v>4768.8269999999993</v>
      </c>
      <c r="H30">
        <v>0.59371799999999997</v>
      </c>
      <c r="J30" s="3">
        <f t="shared" si="0"/>
        <v>4.3835616438356165E-2</v>
      </c>
      <c r="K30" s="3">
        <f>(LN(D30/G30)+H30^2*J30/2)/(H30*SQRT(J30))</f>
        <v>2.943290431568772</v>
      </c>
      <c r="L30" s="3">
        <f>K30-H30*SQRT(J30)</f>
        <v>2.8189839497798053</v>
      </c>
      <c r="M30" s="3">
        <f>EXP(-E30*J30)*(D30*_xlfn.NORM.DIST(K30,0,1,TRUE)-G30*_xlfn.NORM.DIST(L30,0,1,TRUE))</f>
        <v>2050.5476535323387</v>
      </c>
      <c r="N30" s="3">
        <f>EXP(-E30*J30)*(G30*_xlfn.NORM.DIST(-L30,0,1,TRUE)-D30*_xlfn.NORM.DIST(-K30,0,1,TRUE))</f>
        <v>0.40838383776616116</v>
      </c>
      <c r="O30" s="3" t="b">
        <f>(M30-N30)=EXP(-E30*J30)*(D30-G30)</f>
        <v>1</v>
      </c>
    </row>
    <row r="31" spans="1:15" x14ac:dyDescent="0.3">
      <c r="A31" s="1">
        <v>45987</v>
      </c>
      <c r="B31" t="s">
        <v>6</v>
      </c>
      <c r="C31">
        <v>6812.61</v>
      </c>
      <c r="D31">
        <v>6822.62565</v>
      </c>
      <c r="E31" s="2">
        <v>4.0682698898265354E-2</v>
      </c>
      <c r="F31" s="1">
        <v>46003</v>
      </c>
      <c r="G31">
        <v>5450.0879999999997</v>
      </c>
      <c r="H31">
        <v>0.43019499999999999</v>
      </c>
      <c r="J31" s="3">
        <f t="shared" si="0"/>
        <v>4.3835616438356165E-2</v>
      </c>
      <c r="K31" s="3">
        <f>(LN(D31/G31)+H31^2*J31/2)/(H31*SQRT(J31))</f>
        <v>2.5387983782620296</v>
      </c>
      <c r="L31" s="3">
        <f>K31-H31*SQRT(J31)</f>
        <v>2.4487286365105509</v>
      </c>
      <c r="M31" s="3">
        <f>EXP(-E31*J31)*(D31*_xlfn.NORM.DIST(K31,0,1,TRUE)-G31*_xlfn.NORM.DIST(L31,0,1,TRUE))</f>
        <v>1371.2113668657767</v>
      </c>
      <c r="N31" s="3">
        <f>EXP(-E31*J31)*(G31*_xlfn.NORM.DIST(-L31,0,1,TRUE)-D31*_xlfn.NORM.DIST(-K31,0,1,TRUE))</f>
        <v>1.1192522374490226</v>
      </c>
      <c r="O31" s="3" t="b">
        <f>(M31-N31)=EXP(-E31*J31)*(D31-G31)</f>
        <v>1</v>
      </c>
    </row>
    <row r="32" spans="1:15" x14ac:dyDescent="0.3">
      <c r="A32" s="1">
        <v>45987</v>
      </c>
      <c r="B32" t="s">
        <v>6</v>
      </c>
      <c r="C32">
        <v>6812.61</v>
      </c>
      <c r="D32">
        <v>6822.62565</v>
      </c>
      <c r="E32" s="2">
        <v>4.0682698898265354E-2</v>
      </c>
      <c r="F32" s="1">
        <v>46003</v>
      </c>
      <c r="G32">
        <v>6131.3490000000002</v>
      </c>
      <c r="H32">
        <v>0.26860000000000001</v>
      </c>
      <c r="J32" s="3">
        <f t="shared" si="0"/>
        <v>4.3835616438356165E-2</v>
      </c>
      <c r="K32" s="3">
        <f>(LN(D32/G32)+H32^2*J32/2)/(H32*SQRT(J32))</f>
        <v>1.9277615122063887</v>
      </c>
      <c r="L32" s="3">
        <f>K32-H32*SQRT(J32)</f>
        <v>1.871524845963296</v>
      </c>
      <c r="M32" s="3">
        <f>EXP(-E32*J32)*(D32*_xlfn.NORM.DIST(K32,0,1,TRUE)-G32*_xlfn.NORM.DIST(L32,0,1,TRUE))</f>
        <v>694.06103222915328</v>
      </c>
      <c r="N32" s="3">
        <f>EXP(-E32*J32)*(G32*_xlfn.NORM.DIST(-L32,0,1,TRUE)-D32*_xlfn.NORM.DIST(-K32,0,1,TRUE))</f>
        <v>4.016072667070957</v>
      </c>
      <c r="O32" s="3" t="b">
        <f>(M32-N32)=EXP(-E32*J32)*(D32-G32)</f>
        <v>1</v>
      </c>
    </row>
    <row r="33" spans="1:15" x14ac:dyDescent="0.3">
      <c r="A33" s="1">
        <v>45987</v>
      </c>
      <c r="B33" t="s">
        <v>6</v>
      </c>
      <c r="C33">
        <v>6812.61</v>
      </c>
      <c r="D33">
        <v>6822.62565</v>
      </c>
      <c r="E33" s="2">
        <v>4.0682698898265354E-2</v>
      </c>
      <c r="F33" s="1">
        <v>46003</v>
      </c>
      <c r="G33">
        <v>6471.9794999999995</v>
      </c>
      <c r="H33">
        <v>0.19792400000000002</v>
      </c>
      <c r="J33" s="3">
        <f t="shared" si="0"/>
        <v>4.3835616438356165E-2</v>
      </c>
      <c r="K33" s="3">
        <f>(LN(D33/G33)+H33^2*J33/2)/(H33*SQRT(J33))</f>
        <v>1.2939657000068072</v>
      </c>
      <c r="L33" s="3">
        <f>K33-H33*SQRT(J33)</f>
        <v>1.252526437424909</v>
      </c>
      <c r="M33" s="3">
        <f>EXP(-E33*J33)*(D33*_xlfn.NORM.DIST(K33,0,1,TRUE)-G33*_xlfn.NORM.DIST(L33,0,1,TRUE))</f>
        <v>363.26274912164826</v>
      </c>
      <c r="N33" s="3">
        <f>EXP(-E33*J33)*(G33*_xlfn.NORM.DIST(-L33,0,1,TRUE)-D33*_xlfn.NORM.DIST(-K33,0,1,TRUE))</f>
        <v>13.241367092688343</v>
      </c>
      <c r="O33" s="3" t="b">
        <f>(M33-N33)=EXP(-E33*J33)*(D33-G33)</f>
        <v>0</v>
      </c>
    </row>
    <row r="34" spans="1:15" x14ac:dyDescent="0.3">
      <c r="A34" s="1">
        <v>45987</v>
      </c>
      <c r="B34" t="s">
        <v>6</v>
      </c>
      <c r="C34">
        <v>6812.61</v>
      </c>
      <c r="D34">
        <v>6822.62565</v>
      </c>
      <c r="E34" s="2">
        <v>4.0682698898265354E-2</v>
      </c>
      <c r="F34" s="1">
        <v>46003</v>
      </c>
      <c r="G34">
        <v>6812.61</v>
      </c>
      <c r="H34">
        <v>0.13361500000000001</v>
      </c>
      <c r="J34" s="3">
        <f t="shared" si="0"/>
        <v>4.3835616438356165E-2</v>
      </c>
      <c r="K34" s="3">
        <f>(LN(D34/G34)+H34^2*J34/2)/(H34*SQRT(J34))</f>
        <v>6.6501782802371151E-2</v>
      </c>
      <c r="L34" s="3">
        <f>K34-H34*SQRT(J34)</f>
        <v>3.8526867835614584E-2</v>
      </c>
      <c r="M34" s="3">
        <f>EXP(-E34*J34)*(D34*_xlfn.NORM.DIST(K34,0,1,TRUE)-G34*_xlfn.NORM.DIST(L34,0,1,TRUE))</f>
        <v>81.052730930929414</v>
      </c>
      <c r="N34" s="3">
        <f>EXP(-E34*J34)*(G34*_xlfn.NORM.DIST(-L34,0,1,TRUE)-D34*_xlfn.NORM.DIST(-K34,0,1,TRUE))</f>
        <v>71.054926435090479</v>
      </c>
      <c r="O34" s="3" t="b">
        <f>(M34-N34)=EXP(-E34*J34)*(D34-G34)</f>
        <v>0</v>
      </c>
    </row>
    <row r="35" spans="1:15" x14ac:dyDescent="0.3">
      <c r="A35" s="1">
        <v>45987</v>
      </c>
      <c r="B35" t="s">
        <v>6</v>
      </c>
      <c r="C35">
        <v>6812.61</v>
      </c>
      <c r="D35">
        <v>6822.62565</v>
      </c>
      <c r="E35" s="2">
        <v>4.0682698898265354E-2</v>
      </c>
      <c r="F35" s="1">
        <v>46003</v>
      </c>
      <c r="G35">
        <v>7153.240499999999</v>
      </c>
      <c r="H35">
        <v>0.116313</v>
      </c>
      <c r="J35" s="3">
        <f t="shared" si="0"/>
        <v>4.3835616438356165E-2</v>
      </c>
      <c r="K35" s="3">
        <f>(LN(D35/G35)+H35^2*J35/2)/(H35*SQRT(J35))</f>
        <v>-1.9310029173478986</v>
      </c>
      <c r="L35" s="3">
        <f>K35-H35*SQRT(J35)</f>
        <v>-1.9553553200311928</v>
      </c>
      <c r="M35" s="3">
        <f>EXP(-E35*J35)*(D35*_xlfn.NORM.DIST(K35,0,1,TRUE)-G35*_xlfn.NORM.DIST(L35,0,1,TRUE))</f>
        <v>1.6767132525567754</v>
      </c>
      <c r="N35" s="3">
        <f>EXP(-E35*J35)*(G35*_xlfn.NORM.DIST(-L35,0,1,TRUE)-D35*_xlfn.NORM.DIST(-K35,0,1,TRUE))</f>
        <v>331.70248628984041</v>
      </c>
      <c r="O35" s="3" t="b">
        <f>(M35-N35)=EXP(-E35*J35)*(D35-G35)</f>
        <v>0</v>
      </c>
    </row>
    <row r="36" spans="1:15" x14ac:dyDescent="0.3">
      <c r="A36" s="1">
        <v>45987</v>
      </c>
      <c r="B36" t="s">
        <v>6</v>
      </c>
      <c r="C36">
        <v>6812.61</v>
      </c>
      <c r="D36">
        <v>6822.62565</v>
      </c>
      <c r="E36" s="2">
        <v>4.0682698898265354E-2</v>
      </c>
      <c r="F36" s="1">
        <v>46003</v>
      </c>
      <c r="G36">
        <v>7493.8710000000001</v>
      </c>
      <c r="H36">
        <v>0.16220399999999999</v>
      </c>
      <c r="J36" s="3">
        <f t="shared" si="0"/>
        <v>4.3835616438356165E-2</v>
      </c>
      <c r="K36" s="3">
        <f>(LN(D36/G36)+H36^2*J36/2)/(H36*SQRT(J36))</f>
        <v>-2.746255545123129</v>
      </c>
      <c r="L36" s="3">
        <f>K36-H36*SQRT(J36)</f>
        <v>-2.7802161266990582</v>
      </c>
      <c r="M36" s="3">
        <f>EXP(-E36*J36)*(D36*_xlfn.NORM.DIST(K36,0,1,TRUE)-G36*_xlfn.NORM.DIST(L36,0,1,TRUE))</f>
        <v>0.20857287425605769</v>
      </c>
      <c r="N36" s="3">
        <f>EXP(-E36*J36)*(G36*_xlfn.NORM.DIST(-L36,0,1,TRUE)-D36*_xlfn.NORM.DIST(-K36,0,1,TRUE))</f>
        <v>670.25792344466197</v>
      </c>
      <c r="O36" s="3" t="b">
        <f>(M36-N36)=EXP(-E36*J36)*(D36-G36)</f>
        <v>1</v>
      </c>
    </row>
    <row r="37" spans="1:15" x14ac:dyDescent="0.3">
      <c r="A37" s="1">
        <v>45987</v>
      </c>
      <c r="B37" t="s">
        <v>6</v>
      </c>
      <c r="C37">
        <v>6812.61</v>
      </c>
      <c r="D37">
        <v>6822.62565</v>
      </c>
      <c r="E37" s="2">
        <v>4.0682698898265354E-2</v>
      </c>
      <c r="F37" s="1">
        <v>46003</v>
      </c>
      <c r="G37">
        <v>8175.1319999999996</v>
      </c>
      <c r="H37">
        <v>0.25067299999999998</v>
      </c>
      <c r="J37" s="3">
        <f t="shared" si="0"/>
        <v>4.3835616438356165E-2</v>
      </c>
      <c r="K37" s="3">
        <f>(LN(D37/G37)+H37^2*J37/2)/(H37*SQRT(J37))</f>
        <v>-3.4196636194073804</v>
      </c>
      <c r="L37" s="3">
        <f>K37-H37*SQRT(J37)</f>
        <v>-3.4721469173863628</v>
      </c>
      <c r="M37" s="3">
        <f>EXP(-E37*J37)*(D37*_xlfn.NORM.DIST(K37,0,1,TRUE)-G37*_xlfn.NORM.DIST(L37,0,1,TRUE))</f>
        <v>2.8328996875966017E-2</v>
      </c>
      <c r="N37" s="3">
        <f>EXP(-E37*J37)*(G37*_xlfn.NORM.DIST(-L37,0,1,TRUE)-D37*_xlfn.NORM.DIST(-K37,0,1,TRUE))</f>
        <v>1350.1248346335256</v>
      </c>
      <c r="O37" s="3" t="b">
        <f>(M37-N37)=EXP(-E37*J37)*(D37-G37)</f>
        <v>1</v>
      </c>
    </row>
    <row r="38" spans="1:15" x14ac:dyDescent="0.3">
      <c r="A38" s="1">
        <v>45987</v>
      </c>
      <c r="B38" t="s">
        <v>6</v>
      </c>
      <c r="C38">
        <v>6812.61</v>
      </c>
      <c r="D38">
        <v>6822.62565</v>
      </c>
      <c r="E38" s="2">
        <v>4.0682698898265354E-2</v>
      </c>
      <c r="F38" s="1">
        <v>46003</v>
      </c>
      <c r="G38">
        <v>8856.393</v>
      </c>
      <c r="H38">
        <v>0.30586099999999999</v>
      </c>
      <c r="J38" s="3">
        <f t="shared" si="0"/>
        <v>4.3835616438356165E-2</v>
      </c>
      <c r="K38" s="3">
        <f>(LN(D38/G38)+H38^2*J38/2)/(H38*SQRT(J38))</f>
        <v>-4.0420501335394956</v>
      </c>
      <c r="L38" s="3">
        <f>K38-H38*SQRT(J38)</f>
        <v>-4.1060881192944416</v>
      </c>
      <c r="M38" s="3">
        <f>EXP(-E38*J38)*(D38*_xlfn.NORM.DIST(K38,0,1,TRUE)-G38*_xlfn.NORM.DIST(L38,0,1,TRUE))</f>
        <v>2.5492101434466279E-3</v>
      </c>
      <c r="N38" s="3">
        <f>EXP(-E38*J38)*(G38*_xlfn.NORM.DIST(-L38,0,1,TRUE)-D38*_xlfn.NORM.DIST(-K38,0,1,TRUE))</f>
        <v>2030.1462099130383</v>
      </c>
      <c r="O38" s="3" t="b">
        <f>(M38-N38)=EXP(-E38*J38)*(D38-G38)</f>
        <v>0</v>
      </c>
    </row>
    <row r="39" spans="1:15" x14ac:dyDescent="0.3">
      <c r="A39" s="1">
        <v>45987</v>
      </c>
      <c r="B39" t="s">
        <v>6</v>
      </c>
      <c r="C39">
        <v>6812.61</v>
      </c>
      <c r="D39">
        <v>6822.62565</v>
      </c>
      <c r="E39" s="2">
        <v>4.0682698898265354E-2</v>
      </c>
      <c r="F39" s="1">
        <v>46003</v>
      </c>
      <c r="G39">
        <v>9537.6539999999986</v>
      </c>
      <c r="H39">
        <v>0.35945500000000002</v>
      </c>
      <c r="J39" s="3">
        <f t="shared" si="0"/>
        <v>4.3835616438356165E-2</v>
      </c>
      <c r="K39" s="3">
        <f>(LN(D39/G39)+H39^2*J39/2)/(H39*SQRT(J39))</f>
        <v>-4.4137109268784238</v>
      </c>
      <c r="L39" s="3">
        <f>K39-H39*SQRT(J39)</f>
        <v>-4.4889698653162897</v>
      </c>
      <c r="M39" s="3">
        <f>EXP(-E39*J39)*(D39*_xlfn.NORM.DIST(K39,0,1,TRUE)-G39*_xlfn.NORM.DIST(L39,0,1,TRUE))</f>
        <v>5.3289236312156719E-4</v>
      </c>
      <c r="N39" s="3">
        <f>EXP(-E39*J39)*(G39*_xlfn.NORM.DIST(-L39,0,1,TRUE)-D39*_xlfn.NORM.DIST(-K39,0,1,TRUE))</f>
        <v>2710.1913486615013</v>
      </c>
      <c r="O39" s="3" t="b">
        <f>(M39-N39)=EXP(-E39*J39)*(D39-G39)</f>
        <v>1</v>
      </c>
    </row>
    <row r="40" spans="1:15" x14ac:dyDescent="0.3">
      <c r="A40" s="1">
        <v>45987</v>
      </c>
      <c r="B40" t="s">
        <v>6</v>
      </c>
      <c r="C40">
        <v>6812.61</v>
      </c>
      <c r="D40">
        <v>6822.62565</v>
      </c>
      <c r="E40" s="2">
        <v>4.0682698898265354E-2</v>
      </c>
      <c r="F40" s="1">
        <v>46003</v>
      </c>
      <c r="G40">
        <v>10218.915000000001</v>
      </c>
      <c r="H40">
        <v>0.41176099999999999</v>
      </c>
      <c r="J40" s="3">
        <f t="shared" si="0"/>
        <v>4.3835616438356165E-2</v>
      </c>
      <c r="K40" s="3">
        <f>(LN(D40/G40)+H40^2*J40/2)/(H40*SQRT(J40))</f>
        <v>-4.643067939866067</v>
      </c>
      <c r="L40" s="3">
        <f>K40-H40*SQRT(J40)</f>
        <v>-4.7292781629819345</v>
      </c>
      <c r="M40" s="3">
        <f>EXP(-E40*J40)*(D40*_xlfn.NORM.DIST(K40,0,1,TRUE)-G40*_xlfn.NORM.DIST(L40,0,1,TRUE))</f>
        <v>1.9717375053763289E-4</v>
      </c>
      <c r="N40" s="3">
        <f>EXP(-E40*J40)*(G40*_xlfn.NORM.DIST(-L40,0,1,TRUE)-D40*_xlfn.NORM.DIST(-K40,0,1,TRUE))</f>
        <v>3390.2381680091362</v>
      </c>
      <c r="O40" s="3" t="b">
        <f>(M40-N40)=EXP(-E40*J40)*(D40-G40)</f>
        <v>1</v>
      </c>
    </row>
    <row r="41" spans="1:15" x14ac:dyDescent="0.3">
      <c r="A41" s="1">
        <v>45987</v>
      </c>
      <c r="B41" t="s">
        <v>6</v>
      </c>
      <c r="C41">
        <v>6812.61</v>
      </c>
      <c r="D41">
        <v>6826.91</v>
      </c>
      <c r="E41" s="2">
        <v>4.0047496181038783E-2</v>
      </c>
      <c r="F41" s="1">
        <v>46010</v>
      </c>
      <c r="G41">
        <v>3406.3049999999998</v>
      </c>
      <c r="H41">
        <v>0.84180500000000014</v>
      </c>
      <c r="J41" s="3">
        <f t="shared" si="0"/>
        <v>6.3013698630136991E-2</v>
      </c>
      <c r="K41" s="3">
        <f>(LN(D41/G41)+H41^2*J41/2)/(H41*SQRT(J41))</f>
        <v>3.3957509843203924</v>
      </c>
      <c r="L41" s="3">
        <f>K41-H41*SQRT(J41)</f>
        <v>3.1844366360300875</v>
      </c>
      <c r="M41" s="3">
        <f>EXP(-E41*J41)*(D41*_xlfn.NORM.DIST(K41,0,1,TRUE)-G41*_xlfn.NORM.DIST(L41,0,1,TRUE))</f>
        <v>3412.1175047017591</v>
      </c>
      <c r="N41" s="3">
        <f>EXP(-E41*J41)*(G41*_xlfn.NORM.DIST(-L41,0,1,TRUE)-D41*_xlfn.NORM.DIST(-K41,0,1,TRUE))</f>
        <v>0.13365867662748962</v>
      </c>
      <c r="O41" s="3" t="b">
        <f>(M41-N41)=EXP(-E41*J41)*(D41-G41)</f>
        <v>1</v>
      </c>
    </row>
    <row r="42" spans="1:15" x14ac:dyDescent="0.3">
      <c r="A42" s="1">
        <v>45987</v>
      </c>
      <c r="B42" t="s">
        <v>6</v>
      </c>
      <c r="C42">
        <v>6812.61</v>
      </c>
      <c r="D42">
        <v>6826.91</v>
      </c>
      <c r="E42" s="2">
        <v>4.0047496181038783E-2</v>
      </c>
      <c r="F42" s="1">
        <v>46010</v>
      </c>
      <c r="G42">
        <v>4087.5659999999998</v>
      </c>
      <c r="H42">
        <v>0.67959800000000004</v>
      </c>
      <c r="J42" s="3">
        <f t="shared" si="0"/>
        <v>6.3013698630136991E-2</v>
      </c>
      <c r="K42" s="3">
        <f>(LN(D42/G42)+H42^2*J42/2)/(H42*SQRT(J42))</f>
        <v>3.0919431165515339</v>
      </c>
      <c r="L42" s="3">
        <f>K42-H42*SQRT(J42)</f>
        <v>2.9213468282550821</v>
      </c>
      <c r="M42" s="3">
        <f>EXP(-E42*J42)*(D42*_xlfn.NORM.DIST(K42,0,1,TRUE)-G42*_xlfn.NORM.DIST(L42,0,1,TRUE))</f>
        <v>2732.7743610128987</v>
      </c>
      <c r="N42" s="3">
        <f>EXP(-E42*J42)*(G42*_xlfn.NORM.DIST(-L42,0,1,TRUE)-D42*_xlfn.NORM.DIST(-K42,0,1,TRUE))</f>
        <v>0.33449242068594076</v>
      </c>
      <c r="O42" s="3" t="b">
        <f>(M42-N42)=EXP(-E42*J42)*(D42-G42)</f>
        <v>1</v>
      </c>
    </row>
    <row r="43" spans="1:15" x14ac:dyDescent="0.3">
      <c r="A43" s="1">
        <v>45987</v>
      </c>
      <c r="B43" t="s">
        <v>6</v>
      </c>
      <c r="C43">
        <v>6812.61</v>
      </c>
      <c r="D43">
        <v>6826.91</v>
      </c>
      <c r="E43" s="2">
        <v>4.0047496181038783E-2</v>
      </c>
      <c r="F43" s="1">
        <v>46010</v>
      </c>
      <c r="G43">
        <v>4768.8269999999993</v>
      </c>
      <c r="H43">
        <v>0.53750600000000004</v>
      </c>
      <c r="J43" s="3">
        <f t="shared" si="0"/>
        <v>6.3013698630136991E-2</v>
      </c>
      <c r="K43" s="3">
        <f>(LN(D43/G43)+H43^2*J43/2)/(H43*SQRT(J43))</f>
        <v>2.7264586033479179</v>
      </c>
      <c r="L43" s="3">
        <f>K43-H43*SQRT(J43)</f>
        <v>2.5915310012403889</v>
      </c>
      <c r="M43" s="3">
        <f>EXP(-E43*J43)*(D43*_xlfn.NORM.DIST(K43,0,1,TRUE)-G43*_xlfn.NORM.DIST(L43,0,1,TRUE))</f>
        <v>2053.8243498545753</v>
      </c>
      <c r="N43" s="3">
        <f>EXP(-E43*J43)*(G43*_xlfn.NORM.DIST(-L43,0,1,TRUE)-D43*_xlfn.NORM.DIST(-K43,0,1,TRUE))</f>
        <v>0.92845869527962333</v>
      </c>
      <c r="O43" s="3" t="b">
        <f>(M43-N43)=EXP(-E43*J43)*(D43-G43)</f>
        <v>1</v>
      </c>
    </row>
    <row r="44" spans="1:15" x14ac:dyDescent="0.3">
      <c r="A44" s="1">
        <v>45987</v>
      </c>
      <c r="B44" t="s">
        <v>6</v>
      </c>
      <c r="C44">
        <v>6812.61</v>
      </c>
      <c r="D44">
        <v>6826.91</v>
      </c>
      <c r="E44" s="2">
        <v>4.0047496181038783E-2</v>
      </c>
      <c r="F44" s="1">
        <v>46010</v>
      </c>
      <c r="G44">
        <v>5450.0879999999997</v>
      </c>
      <c r="H44">
        <v>0.40076200000000001</v>
      </c>
      <c r="J44" s="3">
        <f t="shared" si="0"/>
        <v>6.3013698630136991E-2</v>
      </c>
      <c r="K44" s="3">
        <f>(LN(D44/G44)+H44^2*J44/2)/(H44*SQRT(J44))</f>
        <v>2.2892397388882957</v>
      </c>
      <c r="L44" s="3">
        <f>K44-H44*SQRT(J44)</f>
        <v>2.1886383396930911</v>
      </c>
      <c r="M44" s="3">
        <f>EXP(-E44*J44)*(D44*_xlfn.NORM.DIST(K44,0,1,TRUE)-G44*_xlfn.NORM.DIST(L44,0,1,TRUE))</f>
        <v>1376.0251250352162</v>
      </c>
      <c r="N44" s="3">
        <f>EXP(-E44*J44)*(G44*_xlfn.NORM.DIST(-L44,0,1,TRUE)-D44*_xlfn.NORM.DIST(-K44,0,1,TRUE))</f>
        <v>2.673211308838241</v>
      </c>
      <c r="O44" s="3" t="b">
        <f>(M44-N44)=EXP(-E44*J44)*(D44-G44)</f>
        <v>1</v>
      </c>
    </row>
    <row r="45" spans="1:15" x14ac:dyDescent="0.3">
      <c r="A45" s="1">
        <v>45987</v>
      </c>
      <c r="B45" t="s">
        <v>6</v>
      </c>
      <c r="C45">
        <v>6812.61</v>
      </c>
      <c r="D45">
        <v>6826.91</v>
      </c>
      <c r="E45" s="2">
        <v>4.0047496181038783E-2</v>
      </c>
      <c r="F45" s="1">
        <v>46010</v>
      </c>
      <c r="G45">
        <v>6131.3490000000002</v>
      </c>
      <c r="H45">
        <v>0.26070300000000002</v>
      </c>
      <c r="J45" s="3">
        <f t="shared" si="0"/>
        <v>6.3013698630136991E-2</v>
      </c>
      <c r="K45" s="3">
        <f>(LN(D45/G45)+H45^2*J45/2)/(H45*SQRT(J45))</f>
        <v>1.6747196981273438</v>
      </c>
      <c r="L45" s="3">
        <f>K45-H45*SQRT(J45)</f>
        <v>1.6092766506967306</v>
      </c>
      <c r="M45" s="3">
        <f>EXP(-E45*J45)*(D45*_xlfn.NORM.DIST(K45,0,1,TRUE)-G45*_xlfn.NORM.DIST(L45,0,1,TRUE))</f>
        <v>702.68871770054432</v>
      </c>
      <c r="N45" s="3">
        <f>EXP(-E45*J45)*(G45*_xlfn.NORM.DIST(-L45,0,1,TRUE)-D45*_xlfn.NORM.DIST(-K45,0,1,TRUE))</f>
        <v>8.8807814070863369</v>
      </c>
      <c r="O45" s="3" t="b">
        <f>(M45-N45)=EXP(-E45*J45)*(D45-G45)</f>
        <v>1</v>
      </c>
    </row>
    <row r="46" spans="1:15" x14ac:dyDescent="0.3">
      <c r="A46" s="1">
        <v>45987</v>
      </c>
      <c r="B46" t="s">
        <v>6</v>
      </c>
      <c r="C46">
        <v>6812.61</v>
      </c>
      <c r="D46">
        <v>6826.91</v>
      </c>
      <c r="E46" s="2">
        <v>4.0047496181038783E-2</v>
      </c>
      <c r="F46" s="1">
        <v>46010</v>
      </c>
      <c r="G46">
        <v>6471.9794999999995</v>
      </c>
      <c r="H46">
        <v>0.199156</v>
      </c>
      <c r="J46" s="3">
        <f t="shared" si="0"/>
        <v>6.3013698630136991E-2</v>
      </c>
      <c r="K46" s="3">
        <f>(LN(D46/G46)+H46^2*J46/2)/(H46*SQRT(J46))</f>
        <v>1.0929448369938062</v>
      </c>
      <c r="L46" s="3">
        <f>K46-H46*SQRT(J46)</f>
        <v>1.0429516433823356</v>
      </c>
      <c r="M46" s="3">
        <f>EXP(-E46*J46)*(D46*_xlfn.NORM.DIST(K46,0,1,TRUE)-G46*_xlfn.NORM.DIST(L46,0,1,TRUE))</f>
        <v>378.25529501523602</v>
      </c>
      <c r="N46" s="3">
        <f>EXP(-E46*J46)*(G46*_xlfn.NORM.DIST(-L46,0,1,TRUE)-D46*_xlfn.NORM.DIST(-K46,0,1,TRUE))</f>
        <v>24.21934743823541</v>
      </c>
      <c r="O46" s="3" t="b">
        <f>(M46-N46)=EXP(-E46*J46)*(D46-G46)</f>
        <v>0</v>
      </c>
    </row>
    <row r="47" spans="1:15" x14ac:dyDescent="0.3">
      <c r="A47" s="1">
        <v>45987</v>
      </c>
      <c r="B47" t="s">
        <v>6</v>
      </c>
      <c r="C47">
        <v>6812.61</v>
      </c>
      <c r="D47">
        <v>6826.91</v>
      </c>
      <c r="E47" s="2">
        <v>4.0047496181038783E-2</v>
      </c>
      <c r="F47" s="1">
        <v>46010</v>
      </c>
      <c r="G47">
        <v>6812.61</v>
      </c>
      <c r="H47">
        <v>0.14228099999999999</v>
      </c>
      <c r="J47" s="3">
        <f t="shared" si="0"/>
        <v>6.3013698630136991E-2</v>
      </c>
      <c r="K47" s="3">
        <f>(LN(D47/G47)+H47^2*J47/2)/(H47*SQRT(J47))</f>
        <v>7.65667983493621E-2</v>
      </c>
      <c r="L47" s="3">
        <f>K47-H47*SQRT(J47)</f>
        <v>4.0850668379722059E-2</v>
      </c>
      <c r="M47" s="3">
        <f>EXP(-E47*J47)*(D47*_xlfn.NORM.DIST(K47,0,1,TRUE)-G47*_xlfn.NORM.DIST(L47,0,1,TRUE))</f>
        <v>104.2214236897764</v>
      </c>
      <c r="N47" s="3">
        <f>EXP(-E47*J47)*(G47*_xlfn.NORM.DIST(-L47,0,1,TRUE)-D47*_xlfn.NORM.DIST(-K47,0,1,TRUE))</f>
        <v>89.957464829236102</v>
      </c>
      <c r="O47" s="3" t="b">
        <f>(M47-N47)=EXP(-E47*J47)*(D47-G47)</f>
        <v>0</v>
      </c>
    </row>
    <row r="48" spans="1:15" x14ac:dyDescent="0.3">
      <c r="A48" s="1">
        <v>45987</v>
      </c>
      <c r="B48" t="s">
        <v>6</v>
      </c>
      <c r="C48">
        <v>6812.61</v>
      </c>
      <c r="D48">
        <v>6826.91</v>
      </c>
      <c r="E48" s="2">
        <v>4.0047496181038783E-2</v>
      </c>
      <c r="F48" s="1">
        <v>46010</v>
      </c>
      <c r="G48">
        <v>7153.240499999999</v>
      </c>
      <c r="H48">
        <v>0.119462</v>
      </c>
      <c r="J48" s="3">
        <f t="shared" si="0"/>
        <v>6.3013698630136991E-2</v>
      </c>
      <c r="K48" s="3">
        <f>(LN(D48/G48)+H48^2*J48/2)/(H48*SQRT(J48))</f>
        <v>-1.5420735248971238</v>
      </c>
      <c r="L48" s="3">
        <f>K48-H48*SQRT(J48)</f>
        <v>-1.5720615086646903</v>
      </c>
      <c r="M48" s="3">
        <f>EXP(-E48*J48)*(D48*_xlfn.NORM.DIST(K48,0,1,TRUE)-G48*_xlfn.NORM.DIST(L48,0,1,TRUE))</f>
        <v>5.3715443523693391</v>
      </c>
      <c r="N48" s="3">
        <f>EXP(-E48*J48)*(G48*_xlfn.NORM.DIST(-L48,0,1,TRUE)-D48*_xlfn.NORM.DIST(-K48,0,1,TRUE))</f>
        <v>330.87957420828673</v>
      </c>
      <c r="O48" s="3" t="b">
        <f>(M48-N48)=EXP(-E48*J48)*(D48-G48)</f>
        <v>0</v>
      </c>
    </row>
    <row r="49" spans="1:15" x14ac:dyDescent="0.3">
      <c r="A49" s="1">
        <v>45987</v>
      </c>
      <c r="B49" t="s">
        <v>6</v>
      </c>
      <c r="C49">
        <v>6812.61</v>
      </c>
      <c r="D49">
        <v>6826.91</v>
      </c>
      <c r="E49" s="2">
        <v>4.0047496181038783E-2</v>
      </c>
      <c r="F49" s="1">
        <v>46010</v>
      </c>
      <c r="G49">
        <v>7493.8710000000001</v>
      </c>
      <c r="H49">
        <v>0.14700199999999999</v>
      </c>
      <c r="J49" s="3">
        <f t="shared" si="0"/>
        <v>6.3013698630136991E-2</v>
      </c>
      <c r="K49" s="3">
        <f>(LN(D49/G49)+H49^2*J49/2)/(H49*SQRT(J49))</f>
        <v>-2.5075723797533396</v>
      </c>
      <c r="L49" s="3">
        <f>K49-H49*SQRT(J49)</f>
        <v>-2.544473600139737</v>
      </c>
      <c r="M49" s="3">
        <f>EXP(-E49*J49)*(D49*_xlfn.NORM.DIST(K49,0,1,TRUE)-G49*_xlfn.NORM.DIST(L49,0,1,TRUE))</f>
        <v>0.48655597073814461</v>
      </c>
      <c r="N49" s="3">
        <f>EXP(-E49*J49)*(G49*_xlfn.NORM.DIST(-L49,0,1,TRUE)-D49*_xlfn.NORM.DIST(-K49,0,1,TRUE))</f>
        <v>665.76657454311589</v>
      </c>
      <c r="O49" s="3" t="b">
        <f>(M49-N49)=EXP(-E49*J49)*(D49-G49)</f>
        <v>1</v>
      </c>
    </row>
    <row r="50" spans="1:15" x14ac:dyDescent="0.3">
      <c r="A50" s="1">
        <v>45987</v>
      </c>
      <c r="B50" t="s">
        <v>6</v>
      </c>
      <c r="C50">
        <v>6812.61</v>
      </c>
      <c r="D50">
        <v>6826.91</v>
      </c>
      <c r="E50" s="2">
        <v>4.0047496181038783E-2</v>
      </c>
      <c r="F50" s="1">
        <v>46010</v>
      </c>
      <c r="G50">
        <v>8175.1319999999996</v>
      </c>
      <c r="H50">
        <v>0.23251100000000002</v>
      </c>
      <c r="J50" s="3">
        <f t="shared" si="0"/>
        <v>6.3013698630136991E-2</v>
      </c>
      <c r="K50" s="3">
        <f>(LN(D50/G50)+H50^2*J50/2)/(H50*SQRT(J50))</f>
        <v>-3.0586466342192473</v>
      </c>
      <c r="L50" s="3">
        <f>K50-H50*SQRT(J50)</f>
        <v>-3.1170127765388189</v>
      </c>
      <c r="M50" s="3">
        <f>EXP(-E50*J50)*(D50*_xlfn.NORM.DIST(K50,0,1,TRUE)-G50*_xlfn.NORM.DIST(L50,0,1,TRUE))</f>
        <v>0.12141936589813641</v>
      </c>
      <c r="N50" s="3">
        <f>EXP(-E50*J50)*(G50*_xlfn.NORM.DIST(-L50,0,1,TRUE)-D50*_xlfn.NORM.DIST(-K50,0,1,TRUE))</f>
        <v>1344.945415371194</v>
      </c>
      <c r="O50" s="3" t="b">
        <f>(M50-N50)=EXP(-E50*J50)*(D50-G50)</f>
        <v>1</v>
      </c>
    </row>
    <row r="51" spans="1:15" x14ac:dyDescent="0.3">
      <c r="A51" s="1">
        <v>45987</v>
      </c>
      <c r="B51" t="s">
        <v>6</v>
      </c>
      <c r="C51">
        <v>6812.61</v>
      </c>
      <c r="D51">
        <v>6826.91</v>
      </c>
      <c r="E51" s="2">
        <v>4.0047496181038783E-2</v>
      </c>
      <c r="F51" s="1">
        <v>46010</v>
      </c>
      <c r="G51">
        <v>8856.393</v>
      </c>
      <c r="H51">
        <v>0.28717599999999999</v>
      </c>
      <c r="J51" s="3">
        <f t="shared" si="0"/>
        <v>6.3013698630136991E-2</v>
      </c>
      <c r="K51" s="3">
        <f>(LN(D51/G51)+H51^2*J51/2)/(H51*SQRT(J51))</f>
        <v>-3.5743462323097153</v>
      </c>
      <c r="L51" s="3">
        <f>K51-H51*SQRT(J51)</f>
        <v>-3.6464346723696064</v>
      </c>
      <c r="M51" s="3">
        <f>EXP(-E51*J51)*(D51*_xlfn.NORM.DIST(K51,0,1,TRUE)-G51*_xlfn.NORM.DIST(L51,0,1,TRUE))</f>
        <v>2.0949701591850851E-2</v>
      </c>
      <c r="N51" s="3">
        <f>EXP(-E51*J51)*(G51*_xlfn.NORM.DIST(-L51,0,1,TRUE)-D51*_xlfn.NORM.DIST(-K51,0,1,TRUE))</f>
        <v>2024.3889231398061</v>
      </c>
      <c r="O51" s="3" t="b">
        <f>(M51-N51)=EXP(-E51*J51)*(D51-G51)</f>
        <v>1</v>
      </c>
    </row>
    <row r="52" spans="1:15" x14ac:dyDescent="0.3">
      <c r="A52" s="1">
        <v>45987</v>
      </c>
      <c r="B52" t="s">
        <v>6</v>
      </c>
      <c r="C52">
        <v>6812.61</v>
      </c>
      <c r="D52">
        <v>6826.91</v>
      </c>
      <c r="E52" s="2">
        <v>4.0047496181038783E-2</v>
      </c>
      <c r="F52" s="1">
        <v>46010</v>
      </c>
      <c r="G52">
        <v>9537.6539999999986</v>
      </c>
      <c r="H52">
        <v>0.33167799999999997</v>
      </c>
      <c r="J52" s="3">
        <f t="shared" si="0"/>
        <v>6.3013698630136991E-2</v>
      </c>
      <c r="K52" s="3">
        <f>(LN(D52/G52)+H52^2*J52/2)/(H52*SQRT(J52))</f>
        <v>-3.9744298353468528</v>
      </c>
      <c r="L52" s="3">
        <f>K52-H52*SQRT(J52)</f>
        <v>-4.0576894030759965</v>
      </c>
      <c r="M52" s="3">
        <f>EXP(-E52*J52)*(D52*_xlfn.NORM.DIST(K52,0,1,TRUE)-G52*_xlfn.NORM.DIST(L52,0,1,TRUE))</f>
        <v>4.4553330384047738E-3</v>
      </c>
      <c r="N52" s="3">
        <f>EXP(-E52*J52)*(G52*_xlfn.NORM.DIST(-L52,0,1,TRUE)-D52*_xlfn.NORM.DIST(-K52,0,1,TRUE))</f>
        <v>2703.9164062041682</v>
      </c>
      <c r="O52" s="3" t="b">
        <f>(M52-N52)=EXP(-E52*J52)*(D52-G52)</f>
        <v>1</v>
      </c>
    </row>
    <row r="53" spans="1:15" x14ac:dyDescent="0.3">
      <c r="A53" s="1">
        <v>45987</v>
      </c>
      <c r="B53" t="s">
        <v>6</v>
      </c>
      <c r="C53">
        <v>6812.61</v>
      </c>
      <c r="D53">
        <v>6826.91</v>
      </c>
      <c r="E53" s="2">
        <v>4.0047496181038783E-2</v>
      </c>
      <c r="F53" s="1">
        <v>46010</v>
      </c>
      <c r="G53">
        <v>10218.915000000001</v>
      </c>
      <c r="H53">
        <v>0.37713400000000002</v>
      </c>
      <c r="J53" s="3">
        <f t="shared" si="0"/>
        <v>6.3013698630136991E-2</v>
      </c>
      <c r="K53" s="3">
        <f>(LN(D53/G53)+H53^2*J53/2)/(H53*SQRT(J53))</f>
        <v>-4.2134393928624814</v>
      </c>
      <c r="L53" s="3">
        <f>K53-H53*SQRT(J53)</f>
        <v>-4.3081095663921181</v>
      </c>
      <c r="M53" s="3">
        <f>EXP(-E53*J53)*(D53*_xlfn.NORM.DIST(K53,0,1,TRUE)-G53*_xlfn.NORM.DIST(L53,0,1,TRUE))</f>
        <v>1.7176506363661523E-3</v>
      </c>
      <c r="N53" s="3">
        <f>EXP(-E53*J53)*(G53*_xlfn.NORM.DIST(-L53,0,1,TRUE)-D53*_xlfn.NORM.DIST(-K53,0,1,TRUE))</f>
        <v>3383.4576459546888</v>
      </c>
      <c r="O53" s="3" t="b">
        <f>(M53-N53)=EXP(-E53*J53)*(D53-G53)</f>
        <v>1</v>
      </c>
    </row>
    <row r="54" spans="1:15" x14ac:dyDescent="0.3">
      <c r="A54" s="1">
        <v>45987</v>
      </c>
      <c r="B54" t="s">
        <v>6</v>
      </c>
      <c r="C54">
        <v>6812.61</v>
      </c>
      <c r="D54">
        <v>6849.8753699999997</v>
      </c>
      <c r="E54" s="2">
        <v>3.9196386582644314E-2</v>
      </c>
      <c r="F54" s="1">
        <v>46038</v>
      </c>
      <c r="G54">
        <v>3406.3049999999998</v>
      </c>
      <c r="H54">
        <v>0.66042299999999998</v>
      </c>
      <c r="J54" s="3">
        <f t="shared" si="0"/>
        <v>0.13972602739726028</v>
      </c>
      <c r="K54" s="3">
        <f>(LN(D54/G54)+H54^2*J54/2)/(H54*SQRT(J54))</f>
        <v>2.9533204717344037</v>
      </c>
      <c r="L54" s="3">
        <f>K54-H54*SQRT(J54)</f>
        <v>2.7064547188241579</v>
      </c>
      <c r="M54" s="3">
        <f>EXP(-E54*J54)*(D54*_xlfn.NORM.DIST(K54,0,1,TRUE)-G54*_xlfn.NORM.DIST(L54,0,1,TRUE))</f>
        <v>3425.5731476352253</v>
      </c>
      <c r="N54" s="3">
        <f>EXP(-E54*J54)*(G54*_xlfn.NORM.DIST(-L54,0,1,TRUE)-D54*_xlfn.NORM.DIST(-K54,0,1,TRUE))</f>
        <v>0.8108196697797414</v>
      </c>
      <c r="O54" s="3" t="b">
        <f>(M54-N54)=EXP(-E54*J54)*(D54-G54)</f>
        <v>1</v>
      </c>
    </row>
    <row r="55" spans="1:15" x14ac:dyDescent="0.3">
      <c r="A55" s="1">
        <v>45987</v>
      </c>
      <c r="B55" t="s">
        <v>6</v>
      </c>
      <c r="C55">
        <v>6812.61</v>
      </c>
      <c r="D55">
        <v>6849.8753699999997</v>
      </c>
      <c r="E55" s="2">
        <v>3.9196386582644314E-2</v>
      </c>
      <c r="F55" s="1">
        <v>46038</v>
      </c>
      <c r="G55">
        <v>4087.5659999999998</v>
      </c>
      <c r="H55">
        <v>0.54635599999999995</v>
      </c>
      <c r="J55" s="3">
        <f t="shared" si="0"/>
        <v>0.13972602739726028</v>
      </c>
      <c r="K55" s="3">
        <f>(LN(D55/G55)+H55^2*J55/2)/(H55*SQRT(J55))</f>
        <v>2.630081835538991</v>
      </c>
      <c r="L55" s="3">
        <f>K55-H55*SQRT(J55)</f>
        <v>2.4258542642747707</v>
      </c>
      <c r="M55" s="3">
        <f>EXP(-E55*J55)*(D55*_xlfn.NORM.DIST(K55,0,1,TRUE)-G55*_xlfn.NORM.DIST(L55,0,1,TRUE))</f>
        <v>2749.1881615576572</v>
      </c>
      <c r="N55" s="3">
        <f>EXP(-E55*J55)*(G55*_xlfn.NORM.DIST(-L55,0,1,TRUE)-D55*_xlfn.NORM.DIST(-K55,0,1,TRUE))</f>
        <v>1.9659322753307176</v>
      </c>
      <c r="O55" s="3" t="b">
        <f>(M55-N55)=EXP(-E55*J55)*(D55-G55)</f>
        <v>1</v>
      </c>
    </row>
    <row r="56" spans="1:15" x14ac:dyDescent="0.3">
      <c r="A56" s="1">
        <v>45987</v>
      </c>
      <c r="B56" t="s">
        <v>6</v>
      </c>
      <c r="C56">
        <v>6812.61</v>
      </c>
      <c r="D56">
        <v>6849.8753699999997</v>
      </c>
      <c r="E56" s="2">
        <v>3.9196386582644314E-2</v>
      </c>
      <c r="F56" s="1">
        <v>46038</v>
      </c>
      <c r="G56">
        <v>4768.8269999999993</v>
      </c>
      <c r="H56">
        <v>0.43564799999999998</v>
      </c>
      <c r="J56" s="3">
        <f t="shared" si="0"/>
        <v>0.13972602739726028</v>
      </c>
      <c r="K56" s="3">
        <f>(LN(D56/G56)+H56^2*J56/2)/(H56*SQRT(J56))</f>
        <v>2.3051943927657157</v>
      </c>
      <c r="L56" s="3">
        <f>K56-H56*SQRT(J56)</f>
        <v>2.1423494108013643</v>
      </c>
      <c r="M56" s="3">
        <f>EXP(-E56*J56)*(D56*_xlfn.NORM.DIST(K56,0,1,TRUE)-G56*_xlfn.NORM.DIST(L56,0,1,TRUE))</f>
        <v>2073.8976199856902</v>
      </c>
      <c r="N56" s="3">
        <f>EXP(-E56*J56)*(G56*_xlfn.NORM.DIST(-L56,0,1,TRUE)-D56*_xlfn.NORM.DIST(-K56,0,1,TRUE))</f>
        <v>4.2154893864830161</v>
      </c>
      <c r="O56" s="3" t="b">
        <f>(M56-N56)=EXP(-E56*J56)*(D56-G56)</f>
        <v>1</v>
      </c>
    </row>
    <row r="57" spans="1:15" x14ac:dyDescent="0.3">
      <c r="A57" s="1">
        <v>45987</v>
      </c>
      <c r="B57" t="s">
        <v>6</v>
      </c>
      <c r="C57">
        <v>6812.61</v>
      </c>
      <c r="D57">
        <v>6849.8753699999997</v>
      </c>
      <c r="E57" s="2">
        <v>3.9196386582644314E-2</v>
      </c>
      <c r="F57" s="1">
        <v>46038</v>
      </c>
      <c r="G57">
        <v>5450.0879999999997</v>
      </c>
      <c r="H57">
        <v>0.32809199999999999</v>
      </c>
      <c r="J57" s="3">
        <f t="shared" si="0"/>
        <v>0.13972602739726028</v>
      </c>
      <c r="K57" s="3">
        <f>(LN(D57/G57)+H57^2*J57/2)/(H57*SQRT(J57))</f>
        <v>1.9252926488539051</v>
      </c>
      <c r="L57" s="3">
        <f>K57-H57*SQRT(J57)</f>
        <v>1.8026520403290227</v>
      </c>
      <c r="M57" s="3">
        <f>EXP(-E57*J57)*(D57*_xlfn.NORM.DIST(K57,0,1,TRUE)-G57*_xlfn.NORM.DIST(L57,0,1,TRUE))</f>
        <v>1401.1706216385003</v>
      </c>
      <c r="N57" s="3">
        <f>EXP(-E57*J57)*(G57*_xlfn.NORM.DIST(-L57,0,1,TRUE)-D57*_xlfn.NORM.DIST(-K57,0,1,TRUE))</f>
        <v>9.0285897224139884</v>
      </c>
      <c r="O57" s="3" t="b">
        <f>(M57-N57)=EXP(-E57*J57)*(D57-G57)</f>
        <v>1</v>
      </c>
    </row>
    <row r="58" spans="1:15" x14ac:dyDescent="0.3">
      <c r="A58" s="1">
        <v>45987</v>
      </c>
      <c r="B58" t="s">
        <v>6</v>
      </c>
      <c r="C58">
        <v>6812.61</v>
      </c>
      <c r="D58">
        <v>6849.8753699999997</v>
      </c>
      <c r="E58" s="2">
        <v>3.9196386582644314E-2</v>
      </c>
      <c r="F58" s="1">
        <v>46038</v>
      </c>
      <c r="G58">
        <v>6131.3490000000002</v>
      </c>
      <c r="H58">
        <v>0.23063099999999997</v>
      </c>
      <c r="J58" s="3">
        <f t="shared" si="0"/>
        <v>0.13972602739726028</v>
      </c>
      <c r="K58" s="3">
        <f>(LN(D58/G58)+H58^2*J58/2)/(H58*SQRT(J58))</f>
        <v>1.3285242010336007</v>
      </c>
      <c r="L58" s="3">
        <f>K58-H58*SQRT(J58)</f>
        <v>1.242314460519653</v>
      </c>
      <c r="M58" s="3">
        <f>EXP(-E58*J58)*(D58*_xlfn.NORM.DIST(K58,0,1,TRUE)-G58*_xlfn.NORM.DIST(L58,0,1,TRUE))</f>
        <v>740.67704323523253</v>
      </c>
      <c r="N58" s="3">
        <f>EXP(-E58*J58)*(G58*_xlfn.NORM.DIST(-L58,0,1,TRUE)-D58*_xlfn.NORM.DIST(-K58,0,1,TRUE))</f>
        <v>26.075110002266303</v>
      </c>
      <c r="O58" s="3" t="b">
        <f>(M58-N58)=EXP(-E58*J58)*(D58-G58)</f>
        <v>1</v>
      </c>
    </row>
    <row r="59" spans="1:15" x14ac:dyDescent="0.3">
      <c r="A59" s="1">
        <v>45987</v>
      </c>
      <c r="B59" t="s">
        <v>6</v>
      </c>
      <c r="C59">
        <v>6812.61</v>
      </c>
      <c r="D59">
        <v>6849.8753699999997</v>
      </c>
      <c r="E59" s="2">
        <v>3.9196386582644314E-2</v>
      </c>
      <c r="F59" s="1">
        <v>46038</v>
      </c>
      <c r="G59">
        <v>6471.9794999999995</v>
      </c>
      <c r="H59">
        <v>0.18685199999999999</v>
      </c>
      <c r="J59" s="3">
        <f t="shared" si="0"/>
        <v>0.13972602739726028</v>
      </c>
      <c r="K59" s="3">
        <f>(LN(D59/G59)+H59^2*J59/2)/(H59*SQRT(J59))</f>
        <v>0.84741172644544893</v>
      </c>
      <c r="L59" s="3">
        <f>K59-H59*SQRT(J59)</f>
        <v>0.77756655196971869</v>
      </c>
      <c r="M59" s="3">
        <f>EXP(-E59*J59)*(D59*_xlfn.NORM.DIST(K59,0,1,TRUE)-G59*_xlfn.NORM.DIST(L59,0,1,TRUE))</f>
        <v>430.19551623578855</v>
      </c>
      <c r="N59" s="3">
        <f>EXP(-E59*J59)*(G59*_xlfn.NORM.DIST(-L59,0,1,TRUE)-D59*_xlfn.NORM.DIST(-K59,0,1,TRUE))</f>
        <v>54.363632344382061</v>
      </c>
      <c r="O59" s="3" t="b">
        <f>(M59-N59)=EXP(-E59*J59)*(D59-G59)</f>
        <v>1</v>
      </c>
    </row>
    <row r="60" spans="1:15" x14ac:dyDescent="0.3">
      <c r="A60" s="1">
        <v>45987</v>
      </c>
      <c r="B60" t="s">
        <v>6</v>
      </c>
      <c r="C60">
        <v>6812.61</v>
      </c>
      <c r="D60">
        <v>6849.8753699999997</v>
      </c>
      <c r="E60" s="2">
        <v>3.9196386582644314E-2</v>
      </c>
      <c r="F60" s="1">
        <v>46038</v>
      </c>
      <c r="G60">
        <v>6812.61</v>
      </c>
      <c r="H60">
        <v>0.146097</v>
      </c>
      <c r="J60" s="3">
        <f t="shared" si="0"/>
        <v>0.13972602739726028</v>
      </c>
      <c r="K60" s="3">
        <f>(LN(D60/G60)+H60^2*J60/2)/(H60*SQRT(J60))</f>
        <v>0.12719660067943689</v>
      </c>
      <c r="L60" s="3">
        <f>K60-H60*SQRT(J60)</f>
        <v>7.2585622710880121E-2</v>
      </c>
      <c r="M60" s="3">
        <f>EXP(-E60*J60)*(D60*_xlfn.NORM.DIST(K60,0,1,TRUE)-G60*_xlfn.NORM.DIST(L60,0,1,TRUE))</f>
        <v>167.26697639378023</v>
      </c>
      <c r="N60" s="3">
        <f>EXP(-E60*J60)*(G60*_xlfn.NORM.DIST(-L60,0,1,TRUE)-D60*_xlfn.NORM.DIST(-K60,0,1,TRUE))</f>
        <v>130.20514184393321</v>
      </c>
      <c r="O60" s="3" t="b">
        <f>(M60-N60)=EXP(-E60*J60)*(D60-G60)</f>
        <v>0</v>
      </c>
    </row>
    <row r="61" spans="1:15" x14ac:dyDescent="0.3">
      <c r="A61" s="1">
        <v>45987</v>
      </c>
      <c r="B61" t="s">
        <v>6</v>
      </c>
      <c r="C61">
        <v>6812.61</v>
      </c>
      <c r="D61">
        <v>6849.8753699999997</v>
      </c>
      <c r="E61" s="2">
        <v>3.9196386582644314E-2</v>
      </c>
      <c r="F61" s="1">
        <v>46038</v>
      </c>
      <c r="G61">
        <v>7153.240499999999</v>
      </c>
      <c r="H61">
        <v>0.12103700000000001</v>
      </c>
      <c r="J61" s="3">
        <f t="shared" si="0"/>
        <v>0.13972602739726028</v>
      </c>
      <c r="K61" s="3">
        <f>(LN(D61/G61)+H61^2*J61/2)/(H61*SQRT(J61))</f>
        <v>-0.93519429690589473</v>
      </c>
      <c r="L61" s="3">
        <f>K61-H61*SQRT(J61)</f>
        <v>-0.98043786070515282</v>
      </c>
      <c r="M61" s="3">
        <f>EXP(-E61*J61)*(D61*_xlfn.NORM.DIST(K61,0,1,TRUE)-G61*_xlfn.NORM.DIST(L61,0,1,TRUE))</f>
        <v>28.41420748331398</v>
      </c>
      <c r="N61" s="3">
        <f>EXP(-E61*J61)*(G61*_xlfn.NORM.DIST(-L61,0,1,TRUE)-D61*_xlfn.NORM.DIST(-K61,0,1,TRUE))</f>
        <v>330.12242227502708</v>
      </c>
      <c r="O61" s="3" t="b">
        <f>(M61-N61)=EXP(-E61*J61)*(D61-G61)</f>
        <v>1</v>
      </c>
    </row>
    <row r="62" spans="1:15" x14ac:dyDescent="0.3">
      <c r="A62" s="1">
        <v>45987</v>
      </c>
      <c r="B62" t="s">
        <v>6</v>
      </c>
      <c r="C62">
        <v>6812.61</v>
      </c>
      <c r="D62">
        <v>6849.8753699999997</v>
      </c>
      <c r="E62" s="2">
        <v>3.9196386582644314E-2</v>
      </c>
      <c r="F62" s="1">
        <v>46038</v>
      </c>
      <c r="G62">
        <v>7493.8710000000001</v>
      </c>
      <c r="H62">
        <v>0.12486999999999999</v>
      </c>
      <c r="J62" s="3">
        <f t="shared" si="0"/>
        <v>0.13972602739726028</v>
      </c>
      <c r="K62" s="3">
        <f>(LN(D62/G62)+H62^2*J62/2)/(H62*SQRT(J62))</f>
        <v>-1.9017278095990595</v>
      </c>
      <c r="L62" s="3">
        <f>K62-H62*SQRT(J62)</f>
        <v>-1.9484041466828714</v>
      </c>
      <c r="M62" s="3">
        <f>EXP(-E62*J62)*(D62*_xlfn.NORM.DIST(K62,0,1,TRUE)-G62*_xlfn.NORM.DIST(L62,0,1,TRUE))</f>
        <v>3.4432114047993752</v>
      </c>
      <c r="N62" s="3">
        <f>EXP(-E62*J62)*(G62*_xlfn.NORM.DIST(-L62,0,1,TRUE)-D62*_xlfn.NORM.DIST(-K62,0,1,TRUE))</f>
        <v>643.92147553807365</v>
      </c>
      <c r="O62" s="3" t="b">
        <f>(M62-N62)=EXP(-E62*J62)*(D62-G62)</f>
        <v>1</v>
      </c>
    </row>
    <row r="63" spans="1:15" x14ac:dyDescent="0.3">
      <c r="A63" s="1">
        <v>45987</v>
      </c>
      <c r="B63" t="s">
        <v>6</v>
      </c>
      <c r="C63">
        <v>6812.61</v>
      </c>
      <c r="D63">
        <v>6849.8753699999997</v>
      </c>
      <c r="E63" s="2">
        <v>3.9196386582644314E-2</v>
      </c>
      <c r="F63" s="1">
        <v>46038</v>
      </c>
      <c r="G63">
        <v>8175.1319999999996</v>
      </c>
      <c r="H63">
        <v>0.161967</v>
      </c>
      <c r="J63" s="3">
        <f t="shared" si="0"/>
        <v>0.13972602739726028</v>
      </c>
      <c r="K63" s="3">
        <f>(LN(D63/G63)+H63^2*J63/2)/(H63*SQRT(J63))</f>
        <v>-2.8910552982229123</v>
      </c>
      <c r="L63" s="3">
        <f>K63-H63*SQRT(J63)</f>
        <v>-2.9515984734327607</v>
      </c>
      <c r="M63" s="3">
        <f>EXP(-E63*J63)*(D63*_xlfn.NORM.DIST(K63,0,1,TRUE)-G63*_xlfn.NORM.DIST(L63,0,1,TRUE))</f>
        <v>0.22664786646234453</v>
      </c>
      <c r="N63" s="3">
        <f>EXP(-E63*J63)*(G63*_xlfn.NORM.DIST(-L63,0,1,TRUE)-D63*_xlfn.NORM.DIST(-K63,0,1,TRUE))</f>
        <v>1318.2450106828549</v>
      </c>
      <c r="O63" s="3" t="b">
        <f>(M63-N63)=EXP(-E63*J63)*(D63-G63)</f>
        <v>1</v>
      </c>
    </row>
    <row r="64" spans="1:15" x14ac:dyDescent="0.3">
      <c r="A64" s="1">
        <v>45987</v>
      </c>
      <c r="B64" t="s">
        <v>6</v>
      </c>
      <c r="C64">
        <v>6812.61</v>
      </c>
      <c r="D64">
        <v>6849.8753699999997</v>
      </c>
      <c r="E64" s="2">
        <v>3.9196386582644314E-2</v>
      </c>
      <c r="F64" s="1">
        <v>46038</v>
      </c>
      <c r="G64">
        <v>8856.393</v>
      </c>
      <c r="H64">
        <v>0.20824300000000001</v>
      </c>
      <c r="J64" s="3">
        <f t="shared" si="0"/>
        <v>0.13972602739726028</v>
      </c>
      <c r="K64" s="3">
        <f>(LN(D64/G64)+H64^2*J64/2)/(H64*SQRT(J64))</f>
        <v>-3.2615088053120811</v>
      </c>
      <c r="L64" s="3">
        <f>K64-H64*SQRT(J64)</f>
        <v>-3.3393499237820441</v>
      </c>
      <c r="M64" s="3">
        <f>EXP(-E64*J64)*(D64*_xlfn.NORM.DIST(K64,0,1,TRUE)-G64*_xlfn.NORM.DIST(L64,0,1,TRUE))</f>
        <v>7.6564162258517574E-2</v>
      </c>
      <c r="N64" s="3">
        <f>EXP(-E64*J64)*(G64*_xlfn.NORM.DIST(-L64,0,1,TRUE)-D64*_xlfn.NORM.DIST(-K64,0,1,TRUE))</f>
        <v>1995.6350256617718</v>
      </c>
      <c r="O64" s="3" t="b">
        <f>(M64-N64)=EXP(-E64*J64)*(D64-G64)</f>
        <v>1</v>
      </c>
    </row>
    <row r="65" spans="1:15" x14ac:dyDescent="0.3">
      <c r="A65" s="1">
        <v>45987</v>
      </c>
      <c r="B65" t="s">
        <v>6</v>
      </c>
      <c r="C65">
        <v>6812.61</v>
      </c>
      <c r="D65">
        <v>6849.8753699999997</v>
      </c>
      <c r="E65" s="2">
        <v>3.9196386582644314E-2</v>
      </c>
      <c r="F65" s="1">
        <v>46038</v>
      </c>
      <c r="G65">
        <v>9537.6539999999986</v>
      </c>
      <c r="H65">
        <v>0.24646599999999999</v>
      </c>
      <c r="J65" s="3">
        <f t="shared" si="0"/>
        <v>0.13972602739726028</v>
      </c>
      <c r="K65" s="3">
        <f>(LN(D65/G65)+H65^2*J65/2)/(H65*SQRT(J65))</f>
        <v>-3.5469150591285317</v>
      </c>
      <c r="L65" s="3">
        <f>K65-H65*SQRT(J65)</f>
        <v>-3.6390439139030875</v>
      </c>
      <c r="M65" s="3">
        <f>EXP(-E65*J65)*(D65*_xlfn.NORM.DIST(K65,0,1,TRUE)-G65*_xlfn.NORM.DIST(L65,0,1,TRUE))</f>
        <v>2.9775555677591364E-2</v>
      </c>
      <c r="N65" s="3">
        <f>EXP(-E65*J65)*(G65*_xlfn.NORM.DIST(-L65,0,1,TRUE)-D65*_xlfn.NORM.DIST(-K65,0,1,TRUE))</f>
        <v>2673.128335738309</v>
      </c>
      <c r="O65" s="3" t="b">
        <f>(M65-N65)=EXP(-E65*J65)*(D65-G65)</f>
        <v>1</v>
      </c>
    </row>
    <row r="66" spans="1:15" x14ac:dyDescent="0.3">
      <c r="A66" s="1">
        <v>45987</v>
      </c>
      <c r="B66" t="s">
        <v>6</v>
      </c>
      <c r="C66">
        <v>6812.61</v>
      </c>
      <c r="D66">
        <v>6849.8753699999997</v>
      </c>
      <c r="E66" s="2">
        <v>3.9196386582644314E-2</v>
      </c>
      <c r="F66" s="1">
        <v>46038</v>
      </c>
      <c r="G66">
        <v>10218.915000000001</v>
      </c>
      <c r="H66">
        <v>0.28083900000000001</v>
      </c>
      <c r="J66" s="3">
        <f t="shared" si="0"/>
        <v>0.13972602739726028</v>
      </c>
      <c r="K66" s="3">
        <f>(LN(D66/G66)+H66^2*J66/2)/(H66*SQRT(J66))</f>
        <v>-3.7579477620945863</v>
      </c>
      <c r="L66" s="3">
        <f>K66-H66*SQRT(J66)</f>
        <v>-3.862925225298564</v>
      </c>
      <c r="M66" s="3">
        <f>EXP(-E66*J66)*(D66*_xlfn.NORM.DIST(K66,0,1,TRUE)-G66*_xlfn.NORM.DIST(L66,0,1,TRUE))</f>
        <v>1.4207195957696941E-2</v>
      </c>
      <c r="N66" s="3">
        <f>EXP(-E66*J66)*(G66*_xlfn.NORM.DIST(-L66,0,1,TRUE)-D66*_xlfn.NORM.DIST(-K66,0,1,TRUE))</f>
        <v>3350.6528660617128</v>
      </c>
      <c r="O66" s="3" t="b">
        <f>(M66-N66)=EXP(-E66*J66)*(D66-G66)</f>
        <v>0</v>
      </c>
    </row>
    <row r="67" spans="1:15" x14ac:dyDescent="0.3">
      <c r="A67" s="1">
        <v>45987</v>
      </c>
      <c r="B67" t="s">
        <v>6</v>
      </c>
      <c r="C67">
        <v>6812.61</v>
      </c>
      <c r="D67">
        <v>6870.1215199999997</v>
      </c>
      <c r="E67" s="2">
        <v>3.8547362636730462E-2</v>
      </c>
      <c r="F67" s="1">
        <v>46073</v>
      </c>
      <c r="G67">
        <v>3406.3049999999998</v>
      </c>
      <c r="H67">
        <v>0.57888600000000001</v>
      </c>
      <c r="J67" s="3">
        <f t="shared" ref="J67:J130" si="1">(F67-A67)/365</f>
        <v>0.23561643835616439</v>
      </c>
      <c r="K67" s="3">
        <f>(LN(D67/G67)+H67^2*J67/2)/(H67*SQRT(J67))</f>
        <v>2.6371891288098954</v>
      </c>
      <c r="L67" s="3">
        <f>K67-H67*SQRT(J67)</f>
        <v>2.3561959095398035</v>
      </c>
      <c r="M67" s="3">
        <f>EXP(-E67*J67)*(D67*_xlfn.NORM.DIST(K67,0,1,TRUE)-G67*_xlfn.NORM.DIST(L67,0,1,TRUE))</f>
        <v>3435.2043331912896</v>
      </c>
      <c r="N67" s="3">
        <f>EXP(-E67*J67)*(G67*_xlfn.NORM.DIST(-L67,0,1,TRUE)-D67*_xlfn.NORM.DIST(-K67,0,1,TRUE))</f>
        <v>2.7051203408979134</v>
      </c>
      <c r="O67" s="3" t="b">
        <f>(M67-N67)=EXP(-E67*J67)*(D67-G67)</f>
        <v>1</v>
      </c>
    </row>
    <row r="68" spans="1:15" x14ac:dyDescent="0.3">
      <c r="A68" s="1">
        <v>45987</v>
      </c>
      <c r="B68" t="s">
        <v>6</v>
      </c>
      <c r="C68">
        <v>6812.61</v>
      </c>
      <c r="D68">
        <v>6870.1215199999997</v>
      </c>
      <c r="E68" s="2">
        <v>3.8547362636730462E-2</v>
      </c>
      <c r="F68" s="1">
        <v>46073</v>
      </c>
      <c r="G68">
        <v>4087.5659999999998</v>
      </c>
      <c r="H68">
        <v>0.48008800000000001</v>
      </c>
      <c r="J68" s="3">
        <f t="shared" si="1"/>
        <v>0.23561643835616439</v>
      </c>
      <c r="K68" s="3">
        <f>(LN(D68/G68)+H68^2*J68/2)/(H68*SQRT(J68))</f>
        <v>2.3446346913394387</v>
      </c>
      <c r="L68" s="3">
        <f>K68-H68*SQRT(J68)</f>
        <v>2.1115983549054262</v>
      </c>
      <c r="M68" s="3">
        <f>EXP(-E68*J68)*(D68*_xlfn.NORM.DIST(K68,0,1,TRUE)-G68*_xlfn.NORM.DIST(L68,0,1,TRUE))</f>
        <v>2762.8863748776462</v>
      </c>
      <c r="N68" s="3">
        <f>EXP(-E68*J68)*(G68*_xlfn.NORM.DIST(-L68,0,1,TRUE)-D68*_xlfn.NORM.DIST(-K68,0,1,TRUE))</f>
        <v>5.4886960558724791</v>
      </c>
      <c r="O68" s="3" t="b">
        <f>(M68-N68)=EXP(-E68*J68)*(D68-G68)</f>
        <v>1</v>
      </c>
    </row>
    <row r="69" spans="1:15" x14ac:dyDescent="0.3">
      <c r="A69" s="1">
        <v>45987</v>
      </c>
      <c r="B69" t="s">
        <v>6</v>
      </c>
      <c r="C69">
        <v>6812.61</v>
      </c>
      <c r="D69">
        <v>6870.1215199999997</v>
      </c>
      <c r="E69" s="2">
        <v>3.8547362636730462E-2</v>
      </c>
      <c r="F69" s="1">
        <v>46073</v>
      </c>
      <c r="G69">
        <v>4768.8269999999993</v>
      </c>
      <c r="H69">
        <v>0.38585300000000006</v>
      </c>
      <c r="J69" s="3">
        <f t="shared" si="1"/>
        <v>0.23561643835616439</v>
      </c>
      <c r="K69" s="3">
        <f>(LN(D69/G69)+H69^2*J69/2)/(H69*SQRT(J69))</f>
        <v>2.0428860780466422</v>
      </c>
      <c r="L69" s="3">
        <f>K69-H69*SQRT(J69)</f>
        <v>1.8555917288396779</v>
      </c>
      <c r="M69" s="3">
        <f>EXP(-E69*J69)*(D69*_xlfn.NORM.DIST(K69,0,1,TRUE)-G69*_xlfn.NORM.DIST(L69,0,1,TRUE))</f>
        <v>2092.5842465640535</v>
      </c>
      <c r="N69" s="3">
        <f>EXP(-E69*J69)*(G69*_xlfn.NORM.DIST(-L69,0,1,TRUE)-D69*_xlfn.NORM.DIST(-K69,0,1,TRUE))</f>
        <v>10.288101770897944</v>
      </c>
      <c r="O69" s="3" t="b">
        <f>(M69-N69)=EXP(-E69*J69)*(D69-G69)</f>
        <v>1</v>
      </c>
    </row>
    <row r="70" spans="1:15" x14ac:dyDescent="0.3">
      <c r="A70" s="1">
        <v>45987</v>
      </c>
      <c r="B70" t="s">
        <v>6</v>
      </c>
      <c r="C70">
        <v>6812.61</v>
      </c>
      <c r="D70">
        <v>6870.1215199999997</v>
      </c>
      <c r="E70" s="2">
        <v>3.8547362636730462E-2</v>
      </c>
      <c r="F70" s="1">
        <v>46073</v>
      </c>
      <c r="G70">
        <v>5450.0879999999997</v>
      </c>
      <c r="H70">
        <v>0.29824600000000001</v>
      </c>
      <c r="J70" s="3">
        <f t="shared" si="1"/>
        <v>0.23561643835616439</v>
      </c>
      <c r="K70" s="3">
        <f>(LN(D70/G70)+H70^2*J70/2)/(H70*SQRT(J70))</f>
        <v>1.6718229104887996</v>
      </c>
      <c r="L70" s="3">
        <f>K70-H70*SQRT(J70)</f>
        <v>1.5270532949264475</v>
      </c>
      <c r="M70" s="3">
        <f>EXP(-E70*J70)*(D70*_xlfn.NORM.DIST(K70,0,1,TRUE)-G70*_xlfn.NORM.DIST(L70,0,1,TRUE))</f>
        <v>1427.585033553268</v>
      </c>
      <c r="N70" s="3">
        <f>EXP(-E70*J70)*(G70*_xlfn.NORM.DIST(-L70,0,1,TRUE)-D70*_xlfn.NORM.DIST(-K70,0,1,TRUE))</f>
        <v>20.390422788730294</v>
      </c>
      <c r="O70" s="3" t="b">
        <f>(M70-N70)=EXP(-E70*J70)*(D70-G70)</f>
        <v>1</v>
      </c>
    </row>
    <row r="71" spans="1:15" x14ac:dyDescent="0.3">
      <c r="A71" s="1">
        <v>45987</v>
      </c>
      <c r="B71" t="s">
        <v>6</v>
      </c>
      <c r="C71">
        <v>6812.61</v>
      </c>
      <c r="D71">
        <v>6870.1215199999997</v>
      </c>
      <c r="E71" s="2">
        <v>3.8547362636730462E-2</v>
      </c>
      <c r="F71" s="1">
        <v>46073</v>
      </c>
      <c r="G71">
        <v>6131.3490000000002</v>
      </c>
      <c r="H71">
        <v>0.22282900000000003</v>
      </c>
      <c r="J71" s="3">
        <f t="shared" si="1"/>
        <v>0.23561643835616439</v>
      </c>
      <c r="K71" s="3">
        <f>(LN(D71/G71)+H71^2*J71/2)/(H71*SQRT(J71))</f>
        <v>1.1059019203834932</v>
      </c>
      <c r="L71" s="3">
        <f>K71-H71*SQRT(J71)</f>
        <v>0.99773997130071135</v>
      </c>
      <c r="M71" s="3">
        <f>EXP(-E71*J71)*(D71*_xlfn.NORM.DIST(K71,0,1,TRUE)-G71*_xlfn.NORM.DIST(L71,0,1,TRUE))</f>
        <v>784.50464736699223</v>
      </c>
      <c r="N71" s="3">
        <f>EXP(-E71*J71)*(G71*_xlfn.NORM.DIST(-L71,0,1,TRUE)-D71*_xlfn.NORM.DIST(-K71,0,1,TRUE))</f>
        <v>52.411570631074639</v>
      </c>
      <c r="O71" s="3" t="b">
        <f>(M71-N71)=EXP(-E71*J71)*(D71-G71)</f>
        <v>1</v>
      </c>
    </row>
    <row r="72" spans="1:15" x14ac:dyDescent="0.3">
      <c r="A72" s="1">
        <v>45987</v>
      </c>
      <c r="B72" t="s">
        <v>6</v>
      </c>
      <c r="C72">
        <v>6812.61</v>
      </c>
      <c r="D72">
        <v>6870.1215199999997</v>
      </c>
      <c r="E72" s="2">
        <v>3.8547362636730462E-2</v>
      </c>
      <c r="F72" s="1">
        <v>46073</v>
      </c>
      <c r="G72">
        <v>6471.9794999999995</v>
      </c>
      <c r="H72">
        <v>0.18779699999999999</v>
      </c>
      <c r="J72" s="3">
        <f t="shared" si="1"/>
        <v>0.23561643835616439</v>
      </c>
      <c r="K72" s="3">
        <f>(LN(D72/G72)+H72^2*J72/2)/(H72*SQRT(J72))</f>
        <v>0.70048816956773274</v>
      </c>
      <c r="L72" s="3">
        <f>K72-H72*SQRT(J72)</f>
        <v>0.6093308715863246</v>
      </c>
      <c r="M72" s="3">
        <f>EXP(-E72*J72)*(D72*_xlfn.NORM.DIST(K72,0,1,TRUE)-G72*_xlfn.NORM.DIST(L72,0,1,TRUE))</f>
        <v>487.31711493549989</v>
      </c>
      <c r="N72" s="3">
        <f>EXP(-E72*J72)*(G72*_xlfn.NORM.DIST(-L72,0,1,TRUE)-D72*_xlfn.NORM.DIST(-K72,0,1,TRUE))</f>
        <v>92.774805213890858</v>
      </c>
      <c r="O72" s="3" t="b">
        <f>(M72-N72)=EXP(-E72*J72)*(D72-G72)</f>
        <v>1</v>
      </c>
    </row>
    <row r="73" spans="1:15" x14ac:dyDescent="0.3">
      <c r="A73" s="1">
        <v>45987</v>
      </c>
      <c r="B73" t="s">
        <v>6</v>
      </c>
      <c r="C73">
        <v>6812.61</v>
      </c>
      <c r="D73">
        <v>6870.1215199999997</v>
      </c>
      <c r="E73" s="2">
        <v>3.8547362636730462E-2</v>
      </c>
      <c r="F73" s="1">
        <v>46073</v>
      </c>
      <c r="G73">
        <v>6812.61</v>
      </c>
      <c r="H73">
        <v>0.154422</v>
      </c>
      <c r="J73" s="3">
        <f t="shared" si="1"/>
        <v>0.23561643835616439</v>
      </c>
      <c r="K73" s="3">
        <f>(LN(D73/G73)+H73^2*J73/2)/(H73*SQRT(J73))</f>
        <v>0.14962934510936285</v>
      </c>
      <c r="L73" s="3">
        <f>K73-H73*SQRT(J73)</f>
        <v>7.4672384833719435E-2</v>
      </c>
      <c r="M73" s="3">
        <f>EXP(-E73*J73)*(D73*_xlfn.NORM.DIST(K73,0,1,TRUE)-G73*_xlfn.NORM.DIST(L73,0,1,TRUE))</f>
        <v>232.45215496769208</v>
      </c>
      <c r="N73" s="3">
        <f>EXP(-E73*J73)*(G73*_xlfn.NORM.DIST(-L73,0,1,TRUE)-D73*_xlfn.NORM.DIST(-K73,0,1,TRUE))</f>
        <v>175.46061226039254</v>
      </c>
      <c r="O73" s="3" t="b">
        <f>(M73-N73)=EXP(-E73*J73)*(D73-G73)</f>
        <v>1</v>
      </c>
    </row>
    <row r="74" spans="1:15" x14ac:dyDescent="0.3">
      <c r="A74" s="1">
        <v>45987</v>
      </c>
      <c r="B74" t="s">
        <v>6</v>
      </c>
      <c r="C74">
        <v>6812.61</v>
      </c>
      <c r="D74">
        <v>6870.1215199999997</v>
      </c>
      <c r="E74" s="2">
        <v>3.8547362636730462E-2</v>
      </c>
      <c r="F74" s="1">
        <v>46073</v>
      </c>
      <c r="G74">
        <v>7153.240499999999</v>
      </c>
      <c r="H74">
        <v>0.129659</v>
      </c>
      <c r="J74" s="3">
        <f t="shared" si="1"/>
        <v>0.23561643835616439</v>
      </c>
      <c r="K74" s="3">
        <f>(LN(D74/G74)+H74^2*J74/2)/(H74*SQRT(J74))</f>
        <v>-0.61018477989465791</v>
      </c>
      <c r="L74" s="3">
        <f>K74-H74*SQRT(J74)</f>
        <v>-0.67312169634684504</v>
      </c>
      <c r="M74" s="3">
        <f>EXP(-E74*J74)*(D74*_xlfn.NORM.DIST(K74,0,1,TRUE)-G74*_xlfn.NORM.DIST(L74,0,1,TRUE))</f>
        <v>68.85821973376062</v>
      </c>
      <c r="N74" s="3">
        <f>EXP(-E74*J74)*(G74*_xlfn.NORM.DIST(-L74,0,1,TRUE)-D74*_xlfn.NORM.DIST(-K74,0,1,TRUE))</f>
        <v>349.41744404076923</v>
      </c>
      <c r="O74" s="3" t="b">
        <f>(M74-N74)=EXP(-E74*J74)*(D74-G74)</f>
        <v>1</v>
      </c>
    </row>
    <row r="75" spans="1:15" x14ac:dyDescent="0.3">
      <c r="A75" s="1">
        <v>45987</v>
      </c>
      <c r="B75" t="s">
        <v>6</v>
      </c>
      <c r="C75">
        <v>6812.61</v>
      </c>
      <c r="D75">
        <v>6870.1215199999997</v>
      </c>
      <c r="E75" s="2">
        <v>3.8547362636730462E-2</v>
      </c>
      <c r="F75" s="1">
        <v>46073</v>
      </c>
      <c r="G75">
        <v>7493.8710000000001</v>
      </c>
      <c r="H75">
        <v>0.123317</v>
      </c>
      <c r="J75" s="3">
        <f t="shared" si="1"/>
        <v>0.23561643835616439</v>
      </c>
      <c r="K75" s="3">
        <f>(LN(D75/G75)+H75^2*J75/2)/(H75*SQRT(J75))</f>
        <v>-1.4218897783036502</v>
      </c>
      <c r="L75" s="3">
        <f>K75-H75*SQRT(J75)</f>
        <v>-1.4817482665392092</v>
      </c>
      <c r="M75" s="3">
        <f>EXP(-E75*J75)*(D75*_xlfn.NORM.DIST(K75,0,1,TRUE)-G75*_xlfn.NORM.DIST(L75,0,1,TRUE))</f>
        <v>13.904467865465422</v>
      </c>
      <c r="N75" s="3">
        <f>EXP(-E75*J75)*(G75*_xlfn.NORM.DIST(-L75,0,1,TRUE)-D75*_xlfn.NORM.DIST(-K75,0,1,TRUE))</f>
        <v>632.01445918678417</v>
      </c>
      <c r="O75" s="3" t="b">
        <f>(M75-N75)=EXP(-E75*J75)*(D75-G75)</f>
        <v>1</v>
      </c>
    </row>
    <row r="76" spans="1:15" x14ac:dyDescent="0.3">
      <c r="A76" s="1">
        <v>45987</v>
      </c>
      <c r="B76" t="s">
        <v>6</v>
      </c>
      <c r="C76">
        <v>6812.61</v>
      </c>
      <c r="D76">
        <v>6870.1215199999997</v>
      </c>
      <c r="E76" s="2">
        <v>3.8547362636730462E-2</v>
      </c>
      <c r="F76" s="1">
        <v>46073</v>
      </c>
      <c r="G76">
        <v>8175.1319999999996</v>
      </c>
      <c r="H76">
        <v>0.13983300000000001</v>
      </c>
      <c r="J76" s="3">
        <f t="shared" si="1"/>
        <v>0.23561643835616439</v>
      </c>
      <c r="K76" s="3">
        <f>(LN(D76/G76)+H76^2*J76/2)/(H76*SQRT(J76))</f>
        <v>-2.5283314260563148</v>
      </c>
      <c r="L76" s="3">
        <f>K76-H76*SQRT(J76)</f>
        <v>-2.5962068364656092</v>
      </c>
      <c r="M76" s="3">
        <f>EXP(-E76*J76)*(D76*_xlfn.NORM.DIST(K76,0,1,TRUE)-G76*_xlfn.NORM.DIST(L76,0,1,TRUE))</f>
        <v>0.83119798669611056</v>
      </c>
      <c r="N76" s="3">
        <f>EXP(-E76*J76)*(G76*_xlfn.NORM.DIST(-L76,0,1,TRUE)-D76*_xlfn.NORM.DIST(-K76,0,1,TRUE))</f>
        <v>1294.0427233366333</v>
      </c>
      <c r="O76" s="3" t="b">
        <f>(M76-N76)=EXP(-E76*J76)*(D76-G76)</f>
        <v>1</v>
      </c>
    </row>
    <row r="77" spans="1:15" x14ac:dyDescent="0.3">
      <c r="A77" s="1">
        <v>45987</v>
      </c>
      <c r="B77" t="s">
        <v>6</v>
      </c>
      <c r="C77">
        <v>6812.61</v>
      </c>
      <c r="D77">
        <v>6870.1215199999997</v>
      </c>
      <c r="E77" s="2">
        <v>3.8547362636730462E-2</v>
      </c>
      <c r="F77" s="1">
        <v>46073</v>
      </c>
      <c r="G77">
        <v>8856.393</v>
      </c>
      <c r="H77">
        <v>0.17075699999999996</v>
      </c>
      <c r="J77" s="3">
        <f t="shared" si="1"/>
        <v>0.23561643835616439</v>
      </c>
      <c r="K77" s="3">
        <f>(LN(D77/G77)+H77^2*J77/2)/(H77*SQRT(J77))</f>
        <v>-3.0224966357301901</v>
      </c>
      <c r="L77" s="3">
        <f>K77-H77*SQRT(J77)</f>
        <v>-3.1053826601683405</v>
      </c>
      <c r="M77" s="3">
        <f>EXP(-E77*J77)*(D77*_xlfn.NORM.DIST(K77,0,1,TRUE)-G77*_xlfn.NORM.DIST(L77,0,1,TRUE))</f>
        <v>0.19484597808253065</v>
      </c>
      <c r="N77" s="3">
        <f>EXP(-E77*J77)*(G77*_xlfn.NORM.DIST(-L77,0,1,TRUE)-D77*_xlfn.NORM.DIST(-K77,0,1,TRUE))</f>
        <v>1968.5079053566383</v>
      </c>
      <c r="O77" s="3" t="b">
        <f>(M77-N77)=EXP(-E77*J77)*(D77-G77)</f>
        <v>1</v>
      </c>
    </row>
    <row r="78" spans="1:15" x14ac:dyDescent="0.3">
      <c r="A78" s="1">
        <v>45987</v>
      </c>
      <c r="B78" t="s">
        <v>6</v>
      </c>
      <c r="C78">
        <v>6812.61</v>
      </c>
      <c r="D78">
        <v>6870.1215199999997</v>
      </c>
      <c r="E78" s="2">
        <v>3.8547362636730462E-2</v>
      </c>
      <c r="F78" s="1">
        <v>46073</v>
      </c>
      <c r="G78">
        <v>9537.6539999999986</v>
      </c>
      <c r="H78">
        <v>0.20380599999999999</v>
      </c>
      <c r="J78" s="3">
        <f t="shared" si="1"/>
        <v>0.23561643835616439</v>
      </c>
      <c r="K78" s="3">
        <f>(LN(D78/G78)+H78^2*J78/2)/(H78*SQRT(J78))</f>
        <v>-3.2667391239525636</v>
      </c>
      <c r="L78" s="3">
        <f>K78-H78*SQRT(J78)</f>
        <v>-3.3656672445955924</v>
      </c>
      <c r="M78" s="3">
        <f>EXP(-E78*J78)*(D78*_xlfn.NORM.DIST(K78,0,1,TRUE)-G78*_xlfn.NORM.DIST(L78,0,1,TRUE))</f>
        <v>9.4853356626527566E-2</v>
      </c>
      <c r="N78" s="3">
        <f>EXP(-E78*J78)*(G78*_xlfn.NORM.DIST(-L78,0,1,TRUE)-D78*_xlfn.NORM.DIST(-K78,0,1,TRUE))</f>
        <v>2643.5094467637991</v>
      </c>
      <c r="O78" s="3" t="b">
        <f>(M78-N78)=EXP(-E78*J78)*(D78-G78)</f>
        <v>1</v>
      </c>
    </row>
    <row r="79" spans="1:15" x14ac:dyDescent="0.3">
      <c r="A79" s="1">
        <v>45987</v>
      </c>
      <c r="B79" t="s">
        <v>6</v>
      </c>
      <c r="C79">
        <v>6812.61</v>
      </c>
      <c r="D79">
        <v>6870.1215199999997</v>
      </c>
      <c r="E79" s="2">
        <v>3.8547362636730462E-2</v>
      </c>
      <c r="F79" s="1">
        <v>46073</v>
      </c>
      <c r="G79">
        <v>10218.915000000001</v>
      </c>
      <c r="H79">
        <v>0.23227999999999999</v>
      </c>
      <c r="J79" s="3">
        <f t="shared" si="1"/>
        <v>0.23561643835616439</v>
      </c>
      <c r="K79" s="3">
        <f>(LN(D79/G79)+H79^2*J79/2)/(H79*SQRT(J79))</f>
        <v>-3.4652251955803877</v>
      </c>
      <c r="L79" s="3">
        <f>K79-H79*SQRT(J79)</f>
        <v>-3.5779746919787407</v>
      </c>
      <c r="M79" s="3">
        <f>EXP(-E79*J79)*(D79*_xlfn.NORM.DIST(K79,0,1,TRUE)-G79*_xlfn.NORM.DIST(L79,0,1,TRUE))</f>
        <v>5.0158779322084457E-2</v>
      </c>
      <c r="N79" s="3">
        <f>EXP(-E79*J79)*(G79*_xlfn.NORM.DIST(-L79,0,1,TRUE)-D79*_xlfn.NORM.DIST(-K79,0,1,TRUE))</f>
        <v>3318.5662862151153</v>
      </c>
      <c r="O79" s="3" t="b">
        <f>(M79-N79)=EXP(-E79*J79)*(D79-G79)</f>
        <v>1</v>
      </c>
    </row>
    <row r="80" spans="1:15" x14ac:dyDescent="0.3">
      <c r="A80" s="1">
        <v>45987</v>
      </c>
      <c r="B80" t="s">
        <v>6</v>
      </c>
      <c r="C80">
        <v>6812.61</v>
      </c>
      <c r="D80">
        <v>6885.29799</v>
      </c>
      <c r="E80" s="2">
        <v>3.8172931607300994E-2</v>
      </c>
      <c r="F80" s="1">
        <v>46101</v>
      </c>
      <c r="G80">
        <v>3406.3049999999998</v>
      </c>
      <c r="H80">
        <v>0.53948499999999999</v>
      </c>
      <c r="J80" s="3">
        <f t="shared" si="1"/>
        <v>0.31232876712328766</v>
      </c>
      <c r="K80" s="3">
        <f>(LN(D80/G80)+H80^2*J80/2)/(H80*SQRT(J80))</f>
        <v>2.4849564367559696</v>
      </c>
      <c r="L80" s="3">
        <f>K80-H80*SQRT(J80)</f>
        <v>2.1834577898762961</v>
      </c>
      <c r="M80" s="3">
        <f>EXP(-E80*J80)*(D80*_xlfn.NORM.DIST(K80,0,1,TRUE)-G80*_xlfn.NORM.DIST(L80,0,1,TRUE))</f>
        <v>3442.4937518483766</v>
      </c>
      <c r="N80" s="3">
        <f>EXP(-E80*J80)*(G80*_xlfn.NORM.DIST(-L80,0,1,TRUE)-D80*_xlfn.NORM.DIST(-K80,0,1,TRUE))</f>
        <v>4.7327890742620022</v>
      </c>
      <c r="O80" s="3" t="b">
        <f>(M80-N80)=EXP(-E80*J80)*(D80-G80)</f>
        <v>0</v>
      </c>
    </row>
    <row r="81" spans="1:15" x14ac:dyDescent="0.3">
      <c r="A81" s="1">
        <v>45987</v>
      </c>
      <c r="B81" t="s">
        <v>6</v>
      </c>
      <c r="C81">
        <v>6812.61</v>
      </c>
      <c r="D81">
        <v>6885.29799</v>
      </c>
      <c r="E81" s="2">
        <v>3.8172931607300994E-2</v>
      </c>
      <c r="F81" s="1">
        <v>46101</v>
      </c>
      <c r="G81">
        <v>4087.5659999999998</v>
      </c>
      <c r="H81">
        <v>0.44831100000000002</v>
      </c>
      <c r="J81" s="3">
        <f t="shared" si="1"/>
        <v>0.31232876712328766</v>
      </c>
      <c r="K81" s="3">
        <f>(LN(D81/G81)+H81^2*J81/2)/(H81*SQRT(J81))</f>
        <v>2.2064919464266373</v>
      </c>
      <c r="L81" s="3">
        <f>K81-H81*SQRT(J81)</f>
        <v>1.9559471492936804</v>
      </c>
      <c r="M81" s="3">
        <f>EXP(-E81*J81)*(D81*_xlfn.NORM.DIST(K81,0,1,TRUE)-G81*_xlfn.NORM.DIST(L81,0,1,TRUE))</f>
        <v>2773.4650034499373</v>
      </c>
      <c r="N81" s="3">
        <f>EXP(-E81*J81)*(G81*_xlfn.NORM.DIST(-L81,0,1,TRUE)-D81*_xlfn.NORM.DIST(-K81,0,1,TRUE))</f>
        <v>8.8909306731066255</v>
      </c>
      <c r="O81" s="3" t="b">
        <f>(M81-N81)=EXP(-E81*J81)*(D81-G81)</f>
        <v>1</v>
      </c>
    </row>
    <row r="82" spans="1:15" x14ac:dyDescent="0.3">
      <c r="A82" s="1">
        <v>45987</v>
      </c>
      <c r="B82" t="s">
        <v>6</v>
      </c>
      <c r="C82">
        <v>6812.61</v>
      </c>
      <c r="D82">
        <v>6885.29799</v>
      </c>
      <c r="E82" s="2">
        <v>3.8172931607300994E-2</v>
      </c>
      <c r="F82" s="1">
        <v>46101</v>
      </c>
      <c r="G82">
        <v>4768.8269999999993</v>
      </c>
      <c r="H82">
        <v>0.36374499999999999</v>
      </c>
      <c r="J82" s="3">
        <f t="shared" si="1"/>
        <v>0.31232876712328766</v>
      </c>
      <c r="K82" s="3">
        <f>(LN(D82/G82)+H82^2*J82/2)/(H82*SQRT(J82))</f>
        <v>1.908415709935867</v>
      </c>
      <c r="L82" s="3">
        <f>K82-H82*SQRT(J82)</f>
        <v>1.7051317904399648</v>
      </c>
      <c r="M82" s="3">
        <f>EXP(-E82*J82)*(D82*_xlfn.NORM.DIST(K82,0,1,TRUE)-G82*_xlfn.NORM.DIST(L82,0,1,TRUE))</f>
        <v>2107.4773101726523</v>
      </c>
      <c r="N82" s="3">
        <f>EXP(-E82*J82)*(G82*_xlfn.NORM.DIST(-L82,0,1,TRUE)-D82*_xlfn.NORM.DIST(-K82,0,1,TRUE))</f>
        <v>16.090127393107434</v>
      </c>
      <c r="O82" s="3" t="b">
        <f>(M82-N82)=EXP(-E82*J82)*(D82-G82)</f>
        <v>0</v>
      </c>
    </row>
    <row r="83" spans="1:15" x14ac:dyDescent="0.3">
      <c r="A83" s="1">
        <v>45987</v>
      </c>
      <c r="B83" t="s">
        <v>6</v>
      </c>
      <c r="C83">
        <v>6812.61</v>
      </c>
      <c r="D83">
        <v>6885.29799</v>
      </c>
      <c r="E83" s="2">
        <v>3.8172931607300994E-2</v>
      </c>
      <c r="F83" s="1">
        <v>46101</v>
      </c>
      <c r="G83">
        <v>5450.0879999999997</v>
      </c>
      <c r="H83">
        <v>0.28769099999999997</v>
      </c>
      <c r="J83" s="3">
        <f t="shared" si="1"/>
        <v>0.31232876712328766</v>
      </c>
      <c r="K83" s="3">
        <f>(LN(D83/G83)+H83^2*J83/2)/(H83*SQRT(J83))</f>
        <v>1.5342806108322089</v>
      </c>
      <c r="L83" s="3">
        <f>K83-H83*SQRT(J83)</f>
        <v>1.3735005201541362</v>
      </c>
      <c r="M83" s="3">
        <f>EXP(-E83*J83)*(D83*_xlfn.NORM.DIST(K83,0,1,TRUE)-G83*_xlfn.NORM.DIST(L83,0,1,TRUE))</f>
        <v>1449.7846163027273</v>
      </c>
      <c r="N83" s="3">
        <f>EXP(-E83*J83)*(G83*_xlfn.NORM.DIST(-L83,0,1,TRUE)-D83*_xlfn.NORM.DIST(-K83,0,1,TRUE))</f>
        <v>31.58432352046751</v>
      </c>
      <c r="O83" s="3" t="b">
        <f>(M83-N83)=EXP(-E83*J83)*(D83-G83)</f>
        <v>1</v>
      </c>
    </row>
    <row r="84" spans="1:15" x14ac:dyDescent="0.3">
      <c r="A84" s="1">
        <v>45987</v>
      </c>
      <c r="B84" t="s">
        <v>6</v>
      </c>
      <c r="C84">
        <v>6812.61</v>
      </c>
      <c r="D84">
        <v>6885.29799</v>
      </c>
      <c r="E84" s="2">
        <v>3.8172931607300994E-2</v>
      </c>
      <c r="F84" s="1">
        <v>46101</v>
      </c>
      <c r="G84">
        <v>6131.3490000000002</v>
      </c>
      <c r="H84">
        <v>0.22214800000000001</v>
      </c>
      <c r="J84" s="3">
        <f t="shared" si="1"/>
        <v>0.31232876712328766</v>
      </c>
      <c r="K84" s="3">
        <f>(LN(D84/G84)+H84^2*J84/2)/(H84*SQRT(J84))</f>
        <v>0.99621276228516731</v>
      </c>
      <c r="L84" s="3">
        <f>K84-H84*SQRT(J84)</f>
        <v>0.87206228283342035</v>
      </c>
      <c r="M84" s="3">
        <f>EXP(-E84*J84)*(D84*_xlfn.NORM.DIST(K84,0,1,TRUE)-G84*_xlfn.NORM.DIST(L84,0,1,TRUE))</f>
        <v>820.09058648484495</v>
      </c>
      <c r="N84" s="3">
        <f>EXP(-E84*J84)*(G84*_xlfn.NORM.DIST(-L84,0,1,TRUE)-D84*_xlfn.NORM.DIST(-K84,0,1,TRUE))</f>
        <v>75.077183699869806</v>
      </c>
      <c r="O84" s="3" t="b">
        <f>(M84-N84)=EXP(-E84*J84)*(D84-G84)</f>
        <v>0</v>
      </c>
    </row>
    <row r="85" spans="1:15" x14ac:dyDescent="0.3">
      <c r="A85" s="1">
        <v>45987</v>
      </c>
      <c r="B85" t="s">
        <v>6</v>
      </c>
      <c r="C85">
        <v>6812.61</v>
      </c>
      <c r="D85">
        <v>6885.29799</v>
      </c>
      <c r="E85" s="2">
        <v>3.8172931607300994E-2</v>
      </c>
      <c r="F85" s="1">
        <v>46101</v>
      </c>
      <c r="G85">
        <v>6471.9794999999995</v>
      </c>
      <c r="H85">
        <v>0.19117799999999999</v>
      </c>
      <c r="J85" s="3">
        <f t="shared" si="1"/>
        <v>0.31232876712328766</v>
      </c>
      <c r="K85" s="3">
        <f>(LN(D85/G85)+H85^2*J85/2)/(H85*SQRT(J85))</f>
        <v>0.63283877938792954</v>
      </c>
      <c r="L85" s="3">
        <f>K85-H85*SQRT(J85)</f>
        <v>0.52599631238113198</v>
      </c>
      <c r="M85" s="3">
        <f>EXP(-E85*J85)*(D85*_xlfn.NORM.DIST(K85,0,1,TRUE)-G85*_xlfn.NORM.DIST(L85,0,1,TRUE))</f>
        <v>531.22987061900403</v>
      </c>
      <c r="N85" s="3">
        <f>EXP(-E85*J85)*(G85*_xlfn.NORM.DIST(-L85,0,1,TRUE)-D85*_xlfn.NORM.DIST(-K85,0,1,TRUE))</f>
        <v>122.80991283267188</v>
      </c>
      <c r="O85" s="3" t="b">
        <f>(M85-N85)=EXP(-E85*J85)*(D85-G85)</f>
        <v>1</v>
      </c>
    </row>
    <row r="86" spans="1:15" x14ac:dyDescent="0.3">
      <c r="A86" s="1">
        <v>45987</v>
      </c>
      <c r="B86" t="s">
        <v>6</v>
      </c>
      <c r="C86">
        <v>6812.61</v>
      </c>
      <c r="D86">
        <v>6885.29799</v>
      </c>
      <c r="E86" s="2">
        <v>3.8172931607300994E-2</v>
      </c>
      <c r="F86" s="1">
        <v>46101</v>
      </c>
      <c r="G86">
        <v>6812.61</v>
      </c>
      <c r="H86">
        <v>0.161385</v>
      </c>
      <c r="J86" s="3">
        <f t="shared" si="1"/>
        <v>0.31232876712328766</v>
      </c>
      <c r="K86" s="3">
        <f>(LN(D86/G86)+H86^2*J86/2)/(H86*SQRT(J86))</f>
        <v>0.16276817071629615</v>
      </c>
      <c r="L86" s="3">
        <f>K86-H86*SQRT(J86)</f>
        <v>7.2575933440605284E-2</v>
      </c>
      <c r="M86" s="3">
        <f>EXP(-E86*J86)*(D86*_xlfn.NORM.DIST(K86,0,1,TRUE)-G86*_xlfn.NORM.DIST(L86,0,1,TRUE))</f>
        <v>281.02794253668708</v>
      </c>
      <c r="N86" s="3">
        <f>EXP(-E86*J86)*(G86*_xlfn.NORM.DIST(-L86,0,1,TRUE)-D86*_xlfn.NORM.DIST(-K86,0,1,TRUE))</f>
        <v>209.20142974899775</v>
      </c>
      <c r="O86" s="3" t="b">
        <f>(M86-N86)=EXP(-E86*J86)*(D86-G86)</f>
        <v>1</v>
      </c>
    </row>
    <row r="87" spans="1:15" x14ac:dyDescent="0.3">
      <c r="A87" s="1">
        <v>45987</v>
      </c>
      <c r="B87" t="s">
        <v>6</v>
      </c>
      <c r="C87">
        <v>6812.61</v>
      </c>
      <c r="D87">
        <v>6885.29799</v>
      </c>
      <c r="E87" s="2">
        <v>3.8172931607300994E-2</v>
      </c>
      <c r="F87" s="1">
        <v>46101</v>
      </c>
      <c r="G87">
        <v>7153.240499999999</v>
      </c>
      <c r="H87">
        <v>0.13702400000000001</v>
      </c>
      <c r="J87" s="3">
        <f t="shared" si="1"/>
        <v>0.31232876712328766</v>
      </c>
      <c r="K87" s="3">
        <f>(LN(D87/G87)+H87^2*J87/2)/(H87*SQRT(J87))</f>
        <v>-0.46025091510590366</v>
      </c>
      <c r="L87" s="3">
        <f>K87-H87*SQRT(J87)</f>
        <v>-0.53682867091012498</v>
      </c>
      <c r="M87" s="3">
        <f>EXP(-E87*J87)*(D87*_xlfn.NORM.DIST(K87,0,1,TRUE)-G87*_xlfn.NORM.DIST(L87,0,1,TRUE))</f>
        <v>105.24051664106005</v>
      </c>
      <c r="N87" s="3">
        <f>EXP(-E87*J87)*(G87*_xlfn.NORM.DIST(-L87,0,1,TRUE)-D87*_xlfn.NORM.DIST(-K87,0,1,TRUE))</f>
        <v>370.00744885201175</v>
      </c>
      <c r="O87" s="3" t="b">
        <f>(M87-N87)=EXP(-E87*J87)*(D87-G87)</f>
        <v>0</v>
      </c>
    </row>
    <row r="88" spans="1:15" x14ac:dyDescent="0.3">
      <c r="A88" s="1">
        <v>45987</v>
      </c>
      <c r="B88" t="s">
        <v>6</v>
      </c>
      <c r="C88">
        <v>6812.61</v>
      </c>
      <c r="D88">
        <v>6885.29799</v>
      </c>
      <c r="E88" s="2">
        <v>3.8172931607300994E-2</v>
      </c>
      <c r="F88" s="1">
        <v>46101</v>
      </c>
      <c r="G88">
        <v>7493.8710000000001</v>
      </c>
      <c r="H88">
        <v>0.12631999999999999</v>
      </c>
      <c r="J88" s="3">
        <f t="shared" si="1"/>
        <v>0.31232876712328766</v>
      </c>
      <c r="K88" s="3">
        <f>(LN(D88/G88)+H88^2*J88/2)/(H88*SQRT(J88))</f>
        <v>-1.1644508876177326</v>
      </c>
      <c r="L88" s="3">
        <f>K88-H88*SQRT(J88)</f>
        <v>-1.2350465651135671</v>
      </c>
      <c r="M88" s="3">
        <f>EXP(-E88*J88)*(D88*_xlfn.NORM.DIST(K88,0,1,TRUE)-G88*_xlfn.NORM.DIST(L88,0,1,TRUE))</f>
        <v>28.114999966466115</v>
      </c>
      <c r="N88" s="3">
        <f>EXP(-E88*J88)*(G88*_xlfn.NORM.DIST(-L88,0,1,TRUE)-D88*_xlfn.NORM.DIST(-K88,0,1,TRUE))</f>
        <v>629.47537717606212</v>
      </c>
      <c r="O88" s="3" t="b">
        <f>(M88-N88)=EXP(-E88*J88)*(D88-G88)</f>
        <v>1</v>
      </c>
    </row>
    <row r="89" spans="1:15" x14ac:dyDescent="0.3">
      <c r="A89" s="1">
        <v>45987</v>
      </c>
      <c r="B89" t="s">
        <v>6</v>
      </c>
      <c r="C89">
        <v>6812.61</v>
      </c>
      <c r="D89">
        <v>6885.29799</v>
      </c>
      <c r="E89" s="2">
        <v>3.8172931607300994E-2</v>
      </c>
      <c r="F89" s="1">
        <v>46101</v>
      </c>
      <c r="G89">
        <v>8175.1319999999996</v>
      </c>
      <c r="H89">
        <v>0.13443099999999999</v>
      </c>
      <c r="J89" s="3">
        <f t="shared" si="1"/>
        <v>0.31232876712328766</v>
      </c>
      <c r="K89" s="3">
        <f>(LN(D89/G89)+H89^2*J89/2)/(H89*SQRT(J89))</f>
        <v>-2.2479621203070956</v>
      </c>
      <c r="L89" s="3">
        <f>K89-H89*SQRT(J89)</f>
        <v>-2.3230907422311184</v>
      </c>
      <c r="M89" s="3">
        <f>EXP(-E89*J89)*(D89*_xlfn.NORM.DIST(K89,0,1,TRUE)-G89*_xlfn.NORM.DIST(L89,0,1,TRUE))</f>
        <v>2.1263148929736642</v>
      </c>
      <c r="N89" s="3">
        <f>EXP(-E89*J89)*(G89*_xlfn.NORM.DIST(-L89,0,1,TRUE)-D89*_xlfn.NORM.DIST(-K89,0,1,TRUE))</f>
        <v>1276.673582099854</v>
      </c>
      <c r="O89" s="3" t="b">
        <f>(M89-N89)=EXP(-E89*J89)*(D89-G89)</f>
        <v>1</v>
      </c>
    </row>
    <row r="90" spans="1:15" x14ac:dyDescent="0.3">
      <c r="A90" s="1">
        <v>45987</v>
      </c>
      <c r="B90" t="s">
        <v>6</v>
      </c>
      <c r="C90">
        <v>6812.61</v>
      </c>
      <c r="D90">
        <v>6885.29799</v>
      </c>
      <c r="E90" s="2">
        <v>3.8172931607300994E-2</v>
      </c>
      <c r="F90" s="1">
        <v>46101</v>
      </c>
      <c r="G90">
        <v>8856.393</v>
      </c>
      <c r="H90">
        <v>0.15663199999999999</v>
      </c>
      <c r="J90" s="3">
        <f t="shared" si="1"/>
        <v>0.31232876712328766</v>
      </c>
      <c r="K90" s="3">
        <f>(LN(D90/G90)+H90^2*J90/2)/(H90*SQRT(J90))</f>
        <v>-2.8322062594261488</v>
      </c>
      <c r="L90" s="3">
        <f>K90-H90*SQRT(J90)</f>
        <v>-2.9197422169746572</v>
      </c>
      <c r="M90" s="3">
        <f>EXP(-E90*J90)*(D90*_xlfn.NORM.DIST(K90,0,1,TRUE)-G90*_xlfn.NORM.DIST(L90,0,1,TRUE))</f>
        <v>0.39701847072489782</v>
      </c>
      <c r="N90" s="3">
        <f>EXP(-E90*J90)*(G90*_xlfn.NORM.DIST(-L90,0,1,TRUE)-D90*_xlfn.NORM.DIST(-K90,0,1,TRUE))</f>
        <v>1948.1311756748914</v>
      </c>
      <c r="O90" s="3" t="b">
        <f>(M90-N90)=EXP(-E90*J90)*(D90-G90)</f>
        <v>1</v>
      </c>
    </row>
    <row r="91" spans="1:15" x14ac:dyDescent="0.3">
      <c r="A91" s="1">
        <v>45987</v>
      </c>
      <c r="B91" t="s">
        <v>6</v>
      </c>
      <c r="C91">
        <v>6812.61</v>
      </c>
      <c r="D91">
        <v>6885.29799</v>
      </c>
      <c r="E91" s="2">
        <v>3.8172931607300994E-2</v>
      </c>
      <c r="F91" s="1">
        <v>46101</v>
      </c>
      <c r="G91">
        <v>9537.6539999999986</v>
      </c>
      <c r="H91">
        <v>0.182259</v>
      </c>
      <c r="J91" s="3">
        <f t="shared" si="1"/>
        <v>0.31232876712328766</v>
      </c>
      <c r="K91" s="3">
        <f>(LN(D91/G91)+H91^2*J91/2)/(H91*SQRT(J91))</f>
        <v>-3.1482233394171475</v>
      </c>
      <c r="L91" s="3">
        <f>K91-H91*SQRT(J91)</f>
        <v>-3.2500813000307742</v>
      </c>
      <c r="M91" s="3">
        <f>EXP(-E91*J91)*(D91*_xlfn.NORM.DIST(K91,0,1,TRUE)-G91*_xlfn.NORM.DIST(L91,0,1,TRUE))</f>
        <v>0.15139853992722377</v>
      </c>
      <c r="N91" s="3">
        <f>EXP(-E91*J91)*(G91*_xlfn.NORM.DIST(-L91,0,1,TRUE)-D91*_xlfn.NORM.DIST(-K91,0,1,TRUE))</f>
        <v>2621.0724457413776</v>
      </c>
      <c r="O91" s="3" t="b">
        <f>(M91-N91)=EXP(-E91*J91)*(D91-G91)</f>
        <v>1</v>
      </c>
    </row>
    <row r="92" spans="1:15" x14ac:dyDescent="0.3">
      <c r="A92" s="1">
        <v>45987</v>
      </c>
      <c r="B92" t="s">
        <v>6</v>
      </c>
      <c r="C92">
        <v>6812.61</v>
      </c>
      <c r="D92">
        <v>6885.29799</v>
      </c>
      <c r="E92" s="2">
        <v>3.8172931607300994E-2</v>
      </c>
      <c r="F92" s="1">
        <v>46101</v>
      </c>
      <c r="G92">
        <v>10218.915000000001</v>
      </c>
      <c r="H92">
        <v>0.206728</v>
      </c>
      <c r="J92" s="3">
        <f t="shared" si="1"/>
        <v>0.31232876712328766</v>
      </c>
      <c r="K92" s="3">
        <f>(LN(D92/G92)+H92^2*J92/2)/(H92*SQRT(J92))</f>
        <v>-3.3598951180280507</v>
      </c>
      <c r="L92" s="3">
        <f>K92-H92*SQRT(J92)</f>
        <v>-3.4754279174054963</v>
      </c>
      <c r="M92" s="3">
        <f>EXP(-E92*J92)*(D92*_xlfn.NORM.DIST(K92,0,1,TRUE)-G92*_xlfn.NORM.DIST(L92,0,1,TRUE))</f>
        <v>7.7353994756258149E-2</v>
      </c>
      <c r="N92" s="3">
        <f>EXP(-E92*J92)*(G92*_xlfn.NORM.DIST(-L92,0,1,TRUE)-D92*_xlfn.NORM.DIST(-K92,0,1,TRUE))</f>
        <v>3294.1852911934952</v>
      </c>
      <c r="O92" s="3" t="b">
        <f>(M92-N92)=EXP(-E92*J92)*(D92-G92)</f>
        <v>1</v>
      </c>
    </row>
    <row r="93" spans="1:15" x14ac:dyDescent="0.3">
      <c r="A93" s="1">
        <v>45987</v>
      </c>
      <c r="B93" t="s">
        <v>6</v>
      </c>
      <c r="C93">
        <v>6812.61</v>
      </c>
      <c r="D93">
        <v>6938.1592799999999</v>
      </c>
      <c r="E93" s="2">
        <v>3.7102842770543924E-2</v>
      </c>
      <c r="F93" s="1">
        <v>46191</v>
      </c>
      <c r="G93">
        <v>3406.3049999999998</v>
      </c>
      <c r="H93">
        <v>0.465582</v>
      </c>
      <c r="J93" s="3">
        <f t="shared" si="1"/>
        <v>0.55890410958904113</v>
      </c>
      <c r="K93" s="3">
        <f>(LN(D93/G93)+H93^2*J93/2)/(H93*SQRT(J93))</f>
        <v>2.2179084094474222</v>
      </c>
      <c r="L93" s="3">
        <f>K93-H93*SQRT(J93)</f>
        <v>1.8698398201600774</v>
      </c>
      <c r="M93" s="3">
        <f>EXP(-E93*J93)*(D93*_xlfn.NORM.DIST(K93,0,1,TRUE)-G93*_xlfn.NORM.DIST(L93,0,1,TRUE))</f>
        <v>3471.7215008738449</v>
      </c>
      <c r="N93" s="3">
        <f>EXP(-E93*J93)*(G93*_xlfn.NORM.DIST(-L93,0,1,TRUE)-D93*_xlfn.NORM.DIST(-K93,0,1,TRUE))</f>
        <v>12.352877894659605</v>
      </c>
      <c r="O93" s="3" t="b">
        <f>(M93-N93)=EXP(-E93*J93)*(D93-G93)</f>
        <v>0</v>
      </c>
    </row>
    <row r="94" spans="1:15" x14ac:dyDescent="0.3">
      <c r="A94" s="1">
        <v>45987</v>
      </c>
      <c r="B94" t="s">
        <v>6</v>
      </c>
      <c r="C94">
        <v>6812.61</v>
      </c>
      <c r="D94">
        <v>6938.1592799999999</v>
      </c>
      <c r="E94" s="2">
        <v>3.7102842770543924E-2</v>
      </c>
      <c r="F94" s="1">
        <v>46191</v>
      </c>
      <c r="G94">
        <v>4087.5659999999998</v>
      </c>
      <c r="H94">
        <v>0.39122599999999996</v>
      </c>
      <c r="J94" s="3">
        <f t="shared" si="1"/>
        <v>0.55890410958904113</v>
      </c>
      <c r="K94" s="3">
        <f>(LN(D94/G94)+H94^2*J94/2)/(H94*SQRT(J94))</f>
        <v>1.9552068145474548</v>
      </c>
      <c r="L94" s="3">
        <f>K94-H94*SQRT(J94)</f>
        <v>1.6627266887854395</v>
      </c>
      <c r="M94" s="3">
        <f>EXP(-E94*J94)*(D94*_xlfn.NORM.DIST(K94,0,1,TRUE)-G94*_xlfn.NORM.DIST(L94,0,1,TRUE))</f>
        <v>2813.2084229664415</v>
      </c>
      <c r="N94" s="3">
        <f>EXP(-E94*J94)*(G94*_xlfn.NORM.DIST(-L94,0,1,TRUE)-D94*_xlfn.NORM.DIST(-K94,0,1,TRUE))</f>
        <v>21.119008193837594</v>
      </c>
      <c r="O94" s="3" t="b">
        <f>(M94-N94)=EXP(-E94*J94)*(D94-G94)</f>
        <v>1</v>
      </c>
    </row>
    <row r="95" spans="1:15" x14ac:dyDescent="0.3">
      <c r="A95" s="1">
        <v>45987</v>
      </c>
      <c r="B95" t="s">
        <v>6</v>
      </c>
      <c r="C95">
        <v>6812.61</v>
      </c>
      <c r="D95">
        <v>6938.1592799999999</v>
      </c>
      <c r="E95" s="2">
        <v>3.7102842770543924E-2</v>
      </c>
      <c r="F95" s="1">
        <v>46191</v>
      </c>
      <c r="G95">
        <v>4768.8269999999993</v>
      </c>
      <c r="H95">
        <v>0.32473999999999997</v>
      </c>
      <c r="J95" s="3">
        <f t="shared" si="1"/>
        <v>0.55890410958904113</v>
      </c>
      <c r="K95" s="3">
        <f>(LN(D95/G95)+H95^2*J95/2)/(H95*SQRT(J95))</f>
        <v>1.6657630136459995</v>
      </c>
      <c r="L95" s="3">
        <f>K95-H95*SQRT(J95)</f>
        <v>1.422987748096274</v>
      </c>
      <c r="M95" s="3">
        <f>EXP(-E95*J95)*(D95*_xlfn.NORM.DIST(K95,0,1,TRUE)-G95*_xlfn.NORM.DIST(L95,0,1,TRUE))</f>
        <v>2160.8179307302844</v>
      </c>
      <c r="N95" s="3">
        <f>EXP(-E95*J95)*(G95*_xlfn.NORM.DIST(-L95,0,1,TRUE)-D95*_xlfn.NORM.DIST(-K95,0,1,TRUE))</f>
        <v>36.007724164260033</v>
      </c>
      <c r="O95" s="3" t="b">
        <f>(M95-N95)=EXP(-E95*J95)*(D95-G95)</f>
        <v>1</v>
      </c>
    </row>
    <row r="96" spans="1:15" x14ac:dyDescent="0.3">
      <c r="A96" s="1">
        <v>45987</v>
      </c>
      <c r="B96" t="s">
        <v>6</v>
      </c>
      <c r="C96">
        <v>6812.61</v>
      </c>
      <c r="D96">
        <v>6938.1592799999999</v>
      </c>
      <c r="E96" s="2">
        <v>3.7102842770543924E-2</v>
      </c>
      <c r="F96" s="1">
        <v>46191</v>
      </c>
      <c r="G96">
        <v>5450.0879999999997</v>
      </c>
      <c r="H96">
        <v>0.26914399999999999</v>
      </c>
      <c r="J96" s="3">
        <f t="shared" si="1"/>
        <v>0.55890410958904113</v>
      </c>
      <c r="K96" s="3">
        <f>(LN(D96/G96)+H96^2*J96/2)/(H96*SQRT(J96))</f>
        <v>1.3003605738805506</v>
      </c>
      <c r="L96" s="3">
        <f>K96-H96*SQRT(J96)</f>
        <v>1.099148816563573</v>
      </c>
      <c r="M96" s="3">
        <f>EXP(-E96*J96)*(D96*_xlfn.NORM.DIST(K96,0,1,TRUE)-G96*_xlfn.NORM.DIST(L96,0,1,TRUE))</f>
        <v>1525.3249821895154</v>
      </c>
      <c r="N96" s="3">
        <f>EXP(-E96*J96)*(G96*_xlfn.NORM.DIST(-L96,0,1,TRUE)-D96*_xlfn.NORM.DIST(-K96,0,1,TRUE))</f>
        <v>67.793983830071681</v>
      </c>
      <c r="O96" s="3" t="b">
        <f>(M96-N96)=EXP(-E96*J96)*(D96-G96)</f>
        <v>1</v>
      </c>
    </row>
    <row r="97" spans="1:15" x14ac:dyDescent="0.3">
      <c r="A97" s="1">
        <v>45987</v>
      </c>
      <c r="B97" t="s">
        <v>6</v>
      </c>
      <c r="C97">
        <v>6812.61</v>
      </c>
      <c r="D97">
        <v>6938.1592799999999</v>
      </c>
      <c r="E97" s="2">
        <v>3.7102842770543924E-2</v>
      </c>
      <c r="F97" s="1">
        <v>46191</v>
      </c>
      <c r="G97">
        <v>6131.3490000000002</v>
      </c>
      <c r="H97">
        <v>0.220335</v>
      </c>
      <c r="J97" s="3">
        <f t="shared" si="1"/>
        <v>0.55890410958904113</v>
      </c>
      <c r="K97" s="3">
        <f>(LN(D97/G97)+H97^2*J97/2)/(H97*SQRT(J97))</f>
        <v>0.83284714895196432</v>
      </c>
      <c r="L97" s="3">
        <f>K97-H97*SQRT(J97)</f>
        <v>0.66812494615927243</v>
      </c>
      <c r="M97" s="3">
        <f>EXP(-E97*J97)*(D97*_xlfn.NORM.DIST(K97,0,1,TRUE)-G97*_xlfn.NORM.DIST(L97,0,1,TRUE))</f>
        <v>927.89501453097216</v>
      </c>
      <c r="N97" s="3">
        <f>EXP(-E97*J97)*(G97*_xlfn.NORM.DIST(-L97,0,1,TRUE)-D97*_xlfn.NORM.DIST(-K97,0,1,TRUE))</f>
        <v>137.64322437810969</v>
      </c>
      <c r="O97" s="3" t="b">
        <f>(M97-N97)=EXP(-E97*J97)*(D97-G97)</f>
        <v>0</v>
      </c>
    </row>
    <row r="98" spans="1:15" x14ac:dyDescent="0.3">
      <c r="A98" s="1">
        <v>45987</v>
      </c>
      <c r="B98" t="s">
        <v>6</v>
      </c>
      <c r="C98">
        <v>6812.61</v>
      </c>
      <c r="D98">
        <v>6938.1592799999999</v>
      </c>
      <c r="E98" s="2">
        <v>3.7102842770543924E-2</v>
      </c>
      <c r="F98" s="1">
        <v>46191</v>
      </c>
      <c r="G98">
        <v>6471.9794999999995</v>
      </c>
      <c r="H98">
        <v>0.19625300000000004</v>
      </c>
      <c r="J98" s="3">
        <f t="shared" si="1"/>
        <v>0.55890410958904113</v>
      </c>
      <c r="K98" s="3">
        <f>(LN(D98/G98)+H98^2*J98/2)/(H98*SQRT(J98))</f>
        <v>0.54742682266396947</v>
      </c>
      <c r="L98" s="3">
        <f>K98-H98*SQRT(J98)</f>
        <v>0.40070829648939815</v>
      </c>
      <c r="M98" s="3">
        <f>EXP(-E98*J98)*(D98*_xlfn.NORM.DIST(K98,0,1,TRUE)-G98*_xlfn.NORM.DIST(L98,0,1,TRUE))</f>
        <v>654.63909925064672</v>
      </c>
      <c r="N98" s="3">
        <f>EXP(-E98*J98)*(G98*_xlfn.NORM.DIST(-L98,0,1,TRUE)-D98*_xlfn.NORM.DIST(-K98,0,1,TRUE))</f>
        <v>198.02691320107442</v>
      </c>
      <c r="O98" s="3" t="b">
        <f>(M98-N98)=EXP(-E98*J98)*(D98-G98)</f>
        <v>0</v>
      </c>
    </row>
    <row r="99" spans="1:15" x14ac:dyDescent="0.3">
      <c r="A99" s="1">
        <v>45987</v>
      </c>
      <c r="B99" t="s">
        <v>6</v>
      </c>
      <c r="C99">
        <v>6812.61</v>
      </c>
      <c r="D99">
        <v>6938.1592799999999</v>
      </c>
      <c r="E99" s="2">
        <v>3.7102842770543924E-2</v>
      </c>
      <c r="F99" s="1">
        <v>46191</v>
      </c>
      <c r="G99">
        <v>6812.61</v>
      </c>
      <c r="H99">
        <v>0.172406</v>
      </c>
      <c r="J99" s="3">
        <f t="shared" si="1"/>
        <v>0.55890410958904113</v>
      </c>
      <c r="K99" s="3">
        <f>(LN(D99/G99)+H99^2*J99/2)/(H99*SQRT(J99))</f>
        <v>0.20612517625181853</v>
      </c>
      <c r="L99" s="3">
        <f>K99-H99*SQRT(J99)</f>
        <v>7.7234640954762512E-2</v>
      </c>
      <c r="M99" s="3">
        <f>EXP(-E99*J99)*(D99*_xlfn.NORM.DIST(K99,0,1,TRUE)-G99*_xlfn.NORM.DIST(L99,0,1,TRUE))</f>
        <v>410.98487329434022</v>
      </c>
      <c r="N99" s="3">
        <f>EXP(-E99*J99)*(G99*_xlfn.NORM.DIST(-L99,0,1,TRUE)-D99*_xlfn.NORM.DIST(-K99,0,1,TRUE))</f>
        <v>288.01229134805766</v>
      </c>
      <c r="O99" s="3" t="b">
        <f>(M99-N99)=EXP(-E99*J99)*(D99-G99)</f>
        <v>1</v>
      </c>
    </row>
    <row r="100" spans="1:15" x14ac:dyDescent="0.3">
      <c r="A100" s="1">
        <v>45987</v>
      </c>
      <c r="B100" t="s">
        <v>6</v>
      </c>
      <c r="C100">
        <v>6812.61</v>
      </c>
      <c r="D100">
        <v>6938.1592799999999</v>
      </c>
      <c r="E100" s="2">
        <v>3.7102842770543924E-2</v>
      </c>
      <c r="F100" s="1">
        <v>46191</v>
      </c>
      <c r="G100">
        <v>7153.240499999999</v>
      </c>
      <c r="H100">
        <v>0.15123400000000001</v>
      </c>
      <c r="J100" s="3">
        <f t="shared" si="1"/>
        <v>0.55890410958904113</v>
      </c>
      <c r="K100" s="3">
        <f>(LN(D100/G100)+H100^2*J100/2)/(H100*SQRT(J100))</f>
        <v>-0.21348760577639686</v>
      </c>
      <c r="L100" s="3">
        <f>K100-H100*SQRT(J100)</f>
        <v>-0.32654997724325402</v>
      </c>
      <c r="M100" s="3">
        <f>EXP(-E100*J100)*(D100*_xlfn.NORM.DIST(K100,0,1,TRUE)-G100*_xlfn.NORM.DIST(L100,0,1,TRUE))</f>
        <v>217.03735388024242</v>
      </c>
      <c r="N100" s="3">
        <f>EXP(-E100*J100)*(G100*_xlfn.NORM.DIST(-L100,0,1,TRUE)-D100*_xlfn.NORM.DIST(-K100,0,1,TRUE))</f>
        <v>427.70437603725031</v>
      </c>
      <c r="O100" s="3" t="b">
        <f>(M100-N100)=EXP(-E100*J100)*(D100-G100)</f>
        <v>0</v>
      </c>
    </row>
    <row r="101" spans="1:15" x14ac:dyDescent="0.3">
      <c r="A101" s="1">
        <v>45987</v>
      </c>
      <c r="B101" t="s">
        <v>6</v>
      </c>
      <c r="C101">
        <v>6812.61</v>
      </c>
      <c r="D101">
        <v>6938.1592799999999</v>
      </c>
      <c r="E101" s="2">
        <v>3.7102842770543924E-2</v>
      </c>
      <c r="F101" s="1">
        <v>46191</v>
      </c>
      <c r="G101">
        <v>7493.8710000000001</v>
      </c>
      <c r="H101">
        <v>0.136493</v>
      </c>
      <c r="J101" s="3">
        <f t="shared" si="1"/>
        <v>0.55890410958904113</v>
      </c>
      <c r="K101" s="3">
        <f>(LN(D101/G101)+H101^2*J101/2)/(H101*SQRT(J101))</f>
        <v>-0.70405012301633674</v>
      </c>
      <c r="L101" s="3">
        <f>K101-H101*SQRT(J101)</f>
        <v>-0.80609213915441236</v>
      </c>
      <c r="M101" s="3">
        <f>EXP(-E101*J101)*(D101*_xlfn.NORM.DIST(K101,0,1,TRUE)-G101*_xlfn.NORM.DIST(L101,0,1,TRUE))</f>
        <v>93.63459033246194</v>
      </c>
      <c r="N101" s="3">
        <f>EXP(-E101*J101)*(G101*_xlfn.NORM.DIST(-L101,0,1,TRUE)-D101*_xlfn.NORM.DIST(-K101,0,1,TRUE))</f>
        <v>637.94121659275959</v>
      </c>
      <c r="O101" s="3" t="b">
        <f>(M101-N101)=EXP(-E101*J101)*(D101-G101)</f>
        <v>1</v>
      </c>
    </row>
    <row r="102" spans="1:15" x14ac:dyDescent="0.3">
      <c r="A102" s="1">
        <v>45987</v>
      </c>
      <c r="B102" t="s">
        <v>6</v>
      </c>
      <c r="C102">
        <v>6812.61</v>
      </c>
      <c r="D102">
        <v>6938.1592799999999</v>
      </c>
      <c r="E102" s="2">
        <v>3.7102842770543924E-2</v>
      </c>
      <c r="F102" s="1">
        <v>46191</v>
      </c>
      <c r="G102">
        <v>8175.1319999999996</v>
      </c>
      <c r="H102">
        <v>0.12801999999999999</v>
      </c>
      <c r="J102" s="3">
        <f t="shared" si="1"/>
        <v>0.55890410958904113</v>
      </c>
      <c r="K102" s="3">
        <f>(LN(D102/G102)+H102^2*J102/2)/(H102*SQRT(J102))</f>
        <v>-1.6663291770671451</v>
      </c>
      <c r="L102" s="3">
        <f>K102-H102*SQRT(J102)</f>
        <v>-1.7620367877577772</v>
      </c>
      <c r="M102" s="3">
        <f>EXP(-E102*J102)*(D102*_xlfn.NORM.DIST(K102,0,1,TRUE)-G102*_xlfn.NORM.DIST(L102,0,1,TRUE))</f>
        <v>12.460972362319115</v>
      </c>
      <c r="N102" s="3">
        <f>EXP(-E102*J102)*(G102*_xlfn.NORM.DIST(-L102,0,1,TRUE)-D102*_xlfn.NORM.DIST(-K102,0,1,TRUE))</f>
        <v>1224.0468068291982</v>
      </c>
      <c r="O102" s="3" t="b">
        <f>(M102-N102)=EXP(-E102*J102)*(D102-G102)</f>
        <v>1</v>
      </c>
    </row>
    <row r="103" spans="1:15" x14ac:dyDescent="0.3">
      <c r="A103" s="1">
        <v>45987</v>
      </c>
      <c r="B103" t="s">
        <v>6</v>
      </c>
      <c r="C103">
        <v>6812.61</v>
      </c>
      <c r="D103">
        <v>6938.1592799999999</v>
      </c>
      <c r="E103" s="2">
        <v>3.7102842770543924E-2</v>
      </c>
      <c r="F103" s="1">
        <v>46191</v>
      </c>
      <c r="G103">
        <v>8856.393</v>
      </c>
      <c r="H103">
        <v>0.134352</v>
      </c>
      <c r="J103" s="3">
        <f t="shared" si="1"/>
        <v>0.55890410958904113</v>
      </c>
      <c r="K103" s="3">
        <f>(LN(D103/G103)+H103^2*J103/2)/(H103*SQRT(J103))</f>
        <v>-2.3800824228942492</v>
      </c>
      <c r="L103" s="3">
        <f>K103-H103*SQRT(J103)</f>
        <v>-2.4805238297955756</v>
      </c>
      <c r="M103" s="3">
        <f>EXP(-E103*J103)*(D103*_xlfn.NORM.DIST(K103,0,1,TRUE)-G103*_xlfn.NORM.DIST(L103,0,1,TRUE))</f>
        <v>1.9121360281839659</v>
      </c>
      <c r="N103" s="3">
        <f>EXP(-E103*J103)*(G103*_xlfn.NORM.DIST(-L103,0,1,TRUE)-D103*_xlfn.NORM.DIST(-K103,0,1,TRUE))</f>
        <v>1880.7771787016436</v>
      </c>
      <c r="O103" s="3" t="b">
        <f>(M103-N103)=EXP(-E103*J103)*(D103-G103)</f>
        <v>1</v>
      </c>
    </row>
    <row r="104" spans="1:15" x14ac:dyDescent="0.3">
      <c r="A104" s="1">
        <v>45987</v>
      </c>
      <c r="B104" t="s">
        <v>6</v>
      </c>
      <c r="C104">
        <v>6812.61</v>
      </c>
      <c r="D104">
        <v>6938.1592799999999</v>
      </c>
      <c r="E104" s="2">
        <v>3.7102842770543924E-2</v>
      </c>
      <c r="F104" s="1">
        <v>46191</v>
      </c>
      <c r="G104">
        <v>9537.6539999999986</v>
      </c>
      <c r="H104">
        <v>0.14907300000000001</v>
      </c>
      <c r="J104" s="3">
        <f t="shared" si="1"/>
        <v>0.55890410958904113</v>
      </c>
      <c r="K104" s="3">
        <f>(LN(D104/G104)+H104^2*J104/2)/(H104*SQRT(J104))</f>
        <v>-2.7995493177131037</v>
      </c>
      <c r="L104" s="3">
        <f>K104-H104*SQRT(J104)</f>
        <v>-2.9109961279652876</v>
      </c>
      <c r="M104" s="3">
        <f>EXP(-E104*J104)*(D104*_xlfn.NORM.DIST(K104,0,1,TRUE)-G104*_xlfn.NORM.DIST(L104,0,1,TRUE))</f>
        <v>0.55987878463652829</v>
      </c>
      <c r="N104" s="3">
        <f>EXP(-E104*J104)*(G104*_xlfn.NORM.DIST(-L104,0,1,TRUE)-D104*_xlfn.NORM.DIST(-K104,0,1,TRUE))</f>
        <v>2546.7041296646757</v>
      </c>
      <c r="O104" s="3" t="b">
        <f>(M104-N104)=EXP(-E104*J104)*(D104-G104)</f>
        <v>1</v>
      </c>
    </row>
    <row r="105" spans="1:15" x14ac:dyDescent="0.3">
      <c r="A105" s="1">
        <v>45987</v>
      </c>
      <c r="B105" t="s">
        <v>6</v>
      </c>
      <c r="C105">
        <v>6812.61</v>
      </c>
      <c r="D105">
        <v>6938.1592799999999</v>
      </c>
      <c r="E105" s="2">
        <v>3.7102842770543924E-2</v>
      </c>
      <c r="F105" s="1">
        <v>46191</v>
      </c>
      <c r="G105">
        <v>10218.915000000001</v>
      </c>
      <c r="H105">
        <v>0.16624</v>
      </c>
      <c r="J105" s="3">
        <f t="shared" si="1"/>
        <v>0.55890410958904113</v>
      </c>
      <c r="K105" s="3">
        <f>(LN(D105/G105)+H105^2*J105/2)/(H105*SQRT(J105))</f>
        <v>-3.0534155035732118</v>
      </c>
      <c r="L105" s="3">
        <f>K105-H105*SQRT(J105)</f>
        <v>-3.1776963440763417</v>
      </c>
      <c r="M105" s="3">
        <f>EXP(-E105*J105)*(D105*_xlfn.NORM.DIST(K105,0,1,TRUE)-G105*_xlfn.NORM.DIST(L105,0,1,TRUE))</f>
        <v>0.25846453655151819</v>
      </c>
      <c r="N105" s="3">
        <f>EXP(-E105*J105)*(G105*_xlfn.NORM.DIST(-L105,0,1,TRUE)-D105*_xlfn.NORM.DIST(-K105,0,1,TRUE))</f>
        <v>3213.6819236231731</v>
      </c>
      <c r="O105" s="3" t="b">
        <f>(M105-N105)=EXP(-E105*J105)*(D105-G105)</f>
        <v>1</v>
      </c>
    </row>
    <row r="106" spans="1:15" x14ac:dyDescent="0.3">
      <c r="A106" s="1">
        <v>45987</v>
      </c>
      <c r="B106" t="s">
        <v>6</v>
      </c>
      <c r="C106">
        <v>6812.61</v>
      </c>
      <c r="D106">
        <v>6987.1010800000004</v>
      </c>
      <c r="E106" s="2">
        <v>3.5904857609858329E-2</v>
      </c>
      <c r="F106" s="1">
        <v>46283</v>
      </c>
      <c r="G106">
        <v>3406.3049999999998</v>
      </c>
      <c r="H106">
        <v>0.42142400000000002</v>
      </c>
      <c r="J106" s="3">
        <f t="shared" si="1"/>
        <v>0.81095890410958904</v>
      </c>
      <c r="K106" s="3">
        <f>(LN(D106/G106)+H106^2*J106/2)/(H106*SQRT(J106))</f>
        <v>2.0828391648927593</v>
      </c>
      <c r="L106" s="3">
        <f>K106-H106*SQRT(J106)</f>
        <v>1.7033331284049664</v>
      </c>
      <c r="M106" s="3">
        <f>EXP(-E106*J106)*(D106*_xlfn.NORM.DIST(K106,0,1,TRUE)-G106*_xlfn.NORM.DIST(L106,0,1,TRUE))</f>
        <v>3497.9948782477477</v>
      </c>
      <c r="N106" s="3">
        <f>EXP(-E106*J106)*(G106*_xlfn.NORM.DIST(-L106,0,1,TRUE)-D106*_xlfn.NORM.DIST(-K106,0,1,TRUE))</f>
        <v>19.958830344399956</v>
      </c>
      <c r="O106" s="3" t="b">
        <f>(M106-N106)=EXP(-E106*J106)*(D106-G106)</f>
        <v>1</v>
      </c>
    </row>
    <row r="107" spans="1:15" x14ac:dyDescent="0.3">
      <c r="A107" s="1">
        <v>45987</v>
      </c>
      <c r="B107" t="s">
        <v>6</v>
      </c>
      <c r="C107">
        <v>6812.61</v>
      </c>
      <c r="D107">
        <v>6987.1010800000004</v>
      </c>
      <c r="E107" s="2">
        <v>3.5904857609858329E-2</v>
      </c>
      <c r="F107" s="1">
        <v>46283</v>
      </c>
      <c r="G107">
        <v>4087.5659999999998</v>
      </c>
      <c r="H107">
        <v>0.35888399999999998</v>
      </c>
      <c r="J107" s="3">
        <f t="shared" si="1"/>
        <v>0.81095890410958904</v>
      </c>
      <c r="K107" s="3">
        <f>(LN(D107/G107)+H107^2*J107/2)/(H107*SQRT(J107))</f>
        <v>1.8204364240032405</v>
      </c>
      <c r="L107" s="3">
        <f>K107-H107*SQRT(J107)</f>
        <v>1.4972496942515294</v>
      </c>
      <c r="M107" s="3">
        <f>EXP(-E107*J107)*(D107*_xlfn.NORM.DIST(K107,0,1,TRUE)-G107*_xlfn.NORM.DIST(L107,0,1,TRUE))</f>
        <v>2849.8907926585994</v>
      </c>
      <c r="N107" s="3">
        <f>EXP(-E107*J107)*(G107*_xlfn.NORM.DIST(-L107,0,1,TRUE)-D107*_xlfn.NORM.DIST(-K107,0,1,TRUE))</f>
        <v>33.565231220787595</v>
      </c>
      <c r="O107" s="3" t="b">
        <f>(M107-N107)=EXP(-E107*J107)*(D107-G107)</f>
        <v>1</v>
      </c>
    </row>
    <row r="108" spans="1:15" x14ac:dyDescent="0.3">
      <c r="A108" s="1">
        <v>45987</v>
      </c>
      <c r="B108" t="s">
        <v>6</v>
      </c>
      <c r="C108">
        <v>6812.61</v>
      </c>
      <c r="D108">
        <v>6987.1010800000004</v>
      </c>
      <c r="E108" s="2">
        <v>3.5904857609858329E-2</v>
      </c>
      <c r="F108" s="1">
        <v>46283</v>
      </c>
      <c r="G108">
        <v>4768.8269999999993</v>
      </c>
      <c r="H108">
        <v>0.305122</v>
      </c>
      <c r="J108" s="3">
        <f t="shared" si="1"/>
        <v>0.81095890410958904</v>
      </c>
      <c r="K108" s="3">
        <f>(LN(D108/G108)+H108^2*J108/2)/(H108*SQRT(J108))</f>
        <v>1.5275022070733868</v>
      </c>
      <c r="L108" s="3">
        <f>K108-H108*SQRT(J108)</f>
        <v>1.2527299091852069</v>
      </c>
      <c r="M108" s="3">
        <f>EXP(-E108*J108)*(D108*_xlfn.NORM.DIST(K108,0,1,TRUE)-G108*_xlfn.NORM.DIST(L108,0,1,TRUE))</f>
        <v>2211.9625662937333</v>
      </c>
      <c r="N108" s="3">
        <f>EXP(-E108*J108)*(G108*_xlfn.NORM.DIST(-L108,0,1,TRUE)-D108*_xlfn.NORM.DIST(-K108,0,1,TRUE))</f>
        <v>57.347491321456438</v>
      </c>
      <c r="O108" s="3" t="b">
        <f>(M108-N108)=EXP(-E108*J108)*(D108-G108)</f>
        <v>1</v>
      </c>
    </row>
    <row r="109" spans="1:15" x14ac:dyDescent="0.3">
      <c r="A109" s="1">
        <v>45987</v>
      </c>
      <c r="B109" t="s">
        <v>6</v>
      </c>
      <c r="C109">
        <v>6812.61</v>
      </c>
      <c r="D109">
        <v>6987.1010800000004</v>
      </c>
      <c r="E109" s="2">
        <v>3.5904857609858329E-2</v>
      </c>
      <c r="F109" s="1">
        <v>46283</v>
      </c>
      <c r="G109">
        <v>5450.0879999999997</v>
      </c>
      <c r="H109">
        <v>0.260301</v>
      </c>
      <c r="J109" s="3">
        <f t="shared" si="1"/>
        <v>0.81095890410958904</v>
      </c>
      <c r="K109" s="3">
        <f>(LN(D109/G109)+H109^2*J109/2)/(H109*SQRT(J109))</f>
        <v>1.1770336600183482</v>
      </c>
      <c r="L109" s="3">
        <f>K109-H109*SQRT(J109)</f>
        <v>0.94262413231273823</v>
      </c>
      <c r="M109" s="3">
        <f>EXP(-E109*J109)*(D109*_xlfn.NORM.DIST(K109,0,1,TRUE)-G109*_xlfn.NORM.DIST(L109,0,1,TRUE))</f>
        <v>1596.761114368476</v>
      </c>
      <c r="N109" s="3">
        <f>EXP(-E109*J109)*(G109*_xlfn.NORM.DIST(-L109,0,1,TRUE)-D109*_xlfn.NORM.DIST(-K109,0,1,TRUE))</f>
        <v>103.85652586173443</v>
      </c>
      <c r="O109" s="3" t="b">
        <f>(M109-N109)=EXP(-E109*J109)*(D109-G109)</f>
        <v>1</v>
      </c>
    </row>
    <row r="110" spans="1:15" x14ac:dyDescent="0.3">
      <c r="A110" s="1">
        <v>45987</v>
      </c>
      <c r="B110" t="s">
        <v>6</v>
      </c>
      <c r="C110">
        <v>6812.61</v>
      </c>
      <c r="D110">
        <v>6987.1010800000004</v>
      </c>
      <c r="E110" s="2">
        <v>3.5904857609858329E-2</v>
      </c>
      <c r="F110" s="1">
        <v>46283</v>
      </c>
      <c r="G110">
        <v>6131.3490000000002</v>
      </c>
      <c r="H110">
        <v>0.22053200000000001</v>
      </c>
      <c r="J110" s="3">
        <f t="shared" si="1"/>
        <v>0.81095890410958904</v>
      </c>
      <c r="K110" s="3">
        <f>(LN(D110/G110)+H110^2*J110/2)/(H110*SQRT(J110))</f>
        <v>0.75717034781937609</v>
      </c>
      <c r="L110" s="3">
        <f>K110-H110*SQRT(J110)</f>
        <v>0.55857409976818317</v>
      </c>
      <c r="M110" s="3">
        <f>EXP(-E110*J110)*(D110*_xlfn.NORM.DIST(K110,0,1,TRUE)-G110*_xlfn.NORM.DIST(L110,0,1,TRUE))</f>
        <v>1024.2828272474819</v>
      </c>
      <c r="N110" s="3">
        <f>EXP(-E110*J110)*(G110*_xlfn.NORM.DIST(-L110,0,1,TRUE)-D110*_xlfn.NORM.DIST(-K110,0,1,TRUE))</f>
        <v>193.08872520627651</v>
      </c>
      <c r="O110" s="3" t="b">
        <f>(M110-N110)=EXP(-E110*J110)*(D110-G110)</f>
        <v>0</v>
      </c>
    </row>
    <row r="111" spans="1:15" x14ac:dyDescent="0.3">
      <c r="A111" s="1">
        <v>45987</v>
      </c>
      <c r="B111" t="s">
        <v>6</v>
      </c>
      <c r="C111">
        <v>6812.61</v>
      </c>
      <c r="D111">
        <v>6987.1010800000004</v>
      </c>
      <c r="E111" s="2">
        <v>3.5904857609858329E-2</v>
      </c>
      <c r="F111" s="1">
        <v>46283</v>
      </c>
      <c r="G111">
        <v>6471.9794999999995</v>
      </c>
      <c r="H111">
        <v>0.20048099999999999</v>
      </c>
      <c r="J111" s="3">
        <f t="shared" si="1"/>
        <v>0.81095890410958904</v>
      </c>
      <c r="K111" s="3">
        <f>(LN(D111/G111)+H111^2*J111/2)/(H111*SQRT(J111))</f>
        <v>0.51446322264714928</v>
      </c>
      <c r="L111" s="3">
        <f>K111-H111*SQRT(J111)</f>
        <v>0.33392355309555943</v>
      </c>
      <c r="M111" s="3">
        <f>EXP(-E111*J111)*(D111*_xlfn.NORM.DIST(K111,0,1,TRUE)-G111*_xlfn.NORM.DIST(L111,0,1,TRUE))</f>
        <v>761.85343530845921</v>
      </c>
      <c r="N111" s="3">
        <f>EXP(-E111*J111)*(G111*_xlfn.NORM.DIST(-L111,0,1,TRUE)-D111*_xlfn.NORM.DIST(-K111,0,1,TRUE))</f>
        <v>261.5145765000205</v>
      </c>
      <c r="O111" s="3" t="b">
        <f>(M111-N111)=EXP(-E111*J111)*(D111-G111)</f>
        <v>1</v>
      </c>
    </row>
    <row r="112" spans="1:15" x14ac:dyDescent="0.3">
      <c r="A112" s="1">
        <v>45987</v>
      </c>
      <c r="B112" t="s">
        <v>6</v>
      </c>
      <c r="C112">
        <v>6812.61</v>
      </c>
      <c r="D112">
        <v>6987.1010800000004</v>
      </c>
      <c r="E112" s="2">
        <v>3.5904857609858329E-2</v>
      </c>
      <c r="F112" s="1">
        <v>46283</v>
      </c>
      <c r="G112">
        <v>6812.61</v>
      </c>
      <c r="H112">
        <v>0.180092</v>
      </c>
      <c r="J112" s="3">
        <f t="shared" si="1"/>
        <v>0.81095890410958904</v>
      </c>
      <c r="K112" s="3">
        <f>(LN(D112/G112)+H112^2*J112/2)/(H112*SQRT(J112))</f>
        <v>0.23703115282623796</v>
      </c>
      <c r="L112" s="3">
        <f>K112-H112*SQRT(J112)</f>
        <v>7.4852441781875056E-2</v>
      </c>
      <c r="M112" s="3">
        <f>EXP(-E112*J112)*(D112*_xlfn.NORM.DIST(K112,0,1,TRUE)-G112*_xlfn.NORM.DIST(L112,0,1,TRUE))</f>
        <v>523.12012940509044</v>
      </c>
      <c r="N112" s="3">
        <f>EXP(-E112*J112)*(G112*_xlfn.NORM.DIST(-L112,0,1,TRUE)-D112*_xlfn.NORM.DIST(-K112,0,1,TRUE))</f>
        <v>353.63651382941998</v>
      </c>
      <c r="O112" s="3" t="b">
        <f>(M112-N112)=EXP(-E112*J112)*(D112-G112)</f>
        <v>0</v>
      </c>
    </row>
    <row r="113" spans="1:15" x14ac:dyDescent="0.3">
      <c r="A113" s="1">
        <v>45987</v>
      </c>
      <c r="B113" t="s">
        <v>6</v>
      </c>
      <c r="C113">
        <v>6812.61</v>
      </c>
      <c r="D113">
        <v>6987.1010800000004</v>
      </c>
      <c r="E113" s="2">
        <v>3.5904857609858329E-2</v>
      </c>
      <c r="F113" s="1">
        <v>46283</v>
      </c>
      <c r="G113">
        <v>7153.240499999999</v>
      </c>
      <c r="H113">
        <v>0.16090399999999999</v>
      </c>
      <c r="J113" s="3">
        <f t="shared" si="1"/>
        <v>0.81095890410958904</v>
      </c>
      <c r="K113" s="3">
        <f>(LN(D113/G113)+H113^2*J113/2)/(H113*SQRT(J113))</f>
        <v>-8.9730059125948489E-2</v>
      </c>
      <c r="L113" s="3">
        <f>K113-H113*SQRT(J113)</f>
        <v>-0.23462935127597273</v>
      </c>
      <c r="M113" s="3">
        <f>EXP(-E113*J113)*(D113*_xlfn.NORM.DIST(K113,0,1,TRUE)-G113*_xlfn.NORM.DIST(L113,0,1,TRUE))</f>
        <v>321.13522823481173</v>
      </c>
      <c r="N113" s="3">
        <f>EXP(-E113*J113)*(G113*_xlfn.NORM.DIST(-L113,0,1,TRUE)-D113*_xlfn.NORM.DIST(-K113,0,1,TRUE))</f>
        <v>482.50685589190783</v>
      </c>
      <c r="O113" s="3" t="b">
        <f>(M113-N113)=EXP(-E113*J113)*(D113-G113)</f>
        <v>1</v>
      </c>
    </row>
    <row r="114" spans="1:15" x14ac:dyDescent="0.3">
      <c r="A114" s="1">
        <v>45987</v>
      </c>
      <c r="B114" t="s">
        <v>6</v>
      </c>
      <c r="C114">
        <v>6812.61</v>
      </c>
      <c r="D114">
        <v>6987.1010800000004</v>
      </c>
      <c r="E114" s="2">
        <v>3.5904857609858329E-2</v>
      </c>
      <c r="F114" s="1">
        <v>46283</v>
      </c>
      <c r="G114">
        <v>7493.8710000000001</v>
      </c>
      <c r="H114">
        <v>0.14560699999999999</v>
      </c>
      <c r="J114" s="3">
        <f t="shared" si="1"/>
        <v>0.81095890410958904</v>
      </c>
      <c r="K114" s="3">
        <f>(LN(D114/G114)+H114^2*J114/2)/(H114*SQRT(J114))</f>
        <v>-0.46843507732595924</v>
      </c>
      <c r="L114" s="3">
        <f>K114-H114*SQRT(J114)</f>
        <v>-0.59955892279958689</v>
      </c>
      <c r="M114" s="3">
        <f>EXP(-E114*J114)*(D114*_xlfn.NORM.DIST(K114,0,1,TRUE)-G114*_xlfn.NORM.DIST(L114,0,1,TRUE))</f>
        <v>172.61393571748073</v>
      </c>
      <c r="N114" s="3">
        <f>EXP(-E114*J114)*(G114*_xlfn.NORM.DIST(-L114,0,1,TRUE)-D114*_xlfn.NORM.DIST(-K114,0,1,TRUE))</f>
        <v>664.8408066073456</v>
      </c>
      <c r="O114" s="3" t="b">
        <f>(M114-N114)=EXP(-E114*J114)*(D114-G114)</f>
        <v>1</v>
      </c>
    </row>
    <row r="115" spans="1:15" x14ac:dyDescent="0.3">
      <c r="A115" s="1">
        <v>45987</v>
      </c>
      <c r="B115" t="s">
        <v>6</v>
      </c>
      <c r="C115">
        <v>6812.61</v>
      </c>
      <c r="D115">
        <v>6987.1010800000004</v>
      </c>
      <c r="E115" s="2">
        <v>3.5904857609858329E-2</v>
      </c>
      <c r="F115" s="1">
        <v>46283</v>
      </c>
      <c r="G115">
        <v>8175.1319999999996</v>
      </c>
      <c r="H115">
        <v>0.131165</v>
      </c>
      <c r="J115" s="3">
        <f t="shared" si="1"/>
        <v>0.81095890410958904</v>
      </c>
      <c r="K115" s="3">
        <f>(LN(D115/G115)+H115^2*J115/2)/(H115*SQRT(J115))</f>
        <v>-1.2703795731550387</v>
      </c>
      <c r="L115" s="3">
        <f>K115-H115*SQRT(J115)</f>
        <v>-1.3884979272969986</v>
      </c>
      <c r="M115" s="3">
        <f>EXP(-E115*J115)*(D115*_xlfn.NORM.DIST(K115,0,1,TRUE)-G115*_xlfn.NORM.DIST(L115,0,1,TRUE))</f>
        <v>37.024798417883702</v>
      </c>
      <c r="N115" s="3">
        <f>EXP(-E115*J115)*(G115*_xlfn.NORM.DIST(-L115,0,1,TRUE)-D115*_xlfn.NORM.DIST(-K115,0,1,TRUE))</f>
        <v>1190.9621557732835</v>
      </c>
      <c r="O115" s="3" t="b">
        <f>(M115-N115)=EXP(-E115*J115)*(D115-G115)</f>
        <v>1</v>
      </c>
    </row>
    <row r="116" spans="1:15" x14ac:dyDescent="0.3">
      <c r="A116" s="1">
        <v>45987</v>
      </c>
      <c r="B116" t="s">
        <v>6</v>
      </c>
      <c r="C116">
        <v>6812.61</v>
      </c>
      <c r="D116">
        <v>6987.1010800000004</v>
      </c>
      <c r="E116" s="2">
        <v>3.5904857609858329E-2</v>
      </c>
      <c r="F116" s="1">
        <v>46283</v>
      </c>
      <c r="G116">
        <v>8856.393</v>
      </c>
      <c r="H116">
        <v>0.13039400000000001</v>
      </c>
      <c r="J116" s="3">
        <f t="shared" si="1"/>
        <v>0.81095890410958904</v>
      </c>
      <c r="K116" s="3">
        <f>(LN(D116/G116)+H116^2*J116/2)/(H116*SQRT(J116))</f>
        <v>-1.9602426799292976</v>
      </c>
      <c r="L116" s="3">
        <f>K116-H116*SQRT(J116)</f>
        <v>-2.0776667234621513</v>
      </c>
      <c r="M116" s="3">
        <f>EXP(-E116*J116)*(D116*_xlfn.NORM.DIST(K116,0,1,TRUE)-G116*_xlfn.NORM.DIST(L116,0,1,TRUE))</f>
        <v>7.2297164588619287</v>
      </c>
      <c r="N116" s="3">
        <f>EXP(-E116*J116)*(G116*_xlfn.NORM.DIST(-L116,0,1,TRUE)-D116*_xlfn.NORM.DIST(-K116,0,1,TRUE))</f>
        <v>1822.8775602797959</v>
      </c>
      <c r="O116" s="3" t="b">
        <f>(M116-N116)=EXP(-E116*J116)*(D116-G116)</f>
        <v>0</v>
      </c>
    </row>
    <row r="117" spans="1:15" x14ac:dyDescent="0.3">
      <c r="A117" s="1">
        <v>45987</v>
      </c>
      <c r="B117" t="s">
        <v>6</v>
      </c>
      <c r="C117">
        <v>6812.61</v>
      </c>
      <c r="D117">
        <v>6987.1010800000004</v>
      </c>
      <c r="E117" s="2">
        <v>3.5904857609858329E-2</v>
      </c>
      <c r="F117" s="1">
        <v>46283</v>
      </c>
      <c r="G117">
        <v>9537.6539999999986</v>
      </c>
      <c r="H117">
        <v>0.13500799999999999</v>
      </c>
      <c r="J117" s="3">
        <f t="shared" si="1"/>
        <v>0.81095890410958904</v>
      </c>
      <c r="K117" s="3">
        <f>(LN(D117/G117)+H117^2*J117/2)/(H117*SQRT(J117))</f>
        <v>-2.4987111770899597</v>
      </c>
      <c r="L117" s="3">
        <f>K117-H117*SQRT(J117)</f>
        <v>-2.620290277886649</v>
      </c>
      <c r="M117" s="3">
        <f>EXP(-E117*J117)*(D117*_xlfn.NORM.DIST(K117,0,1,TRUE)-G117*_xlfn.NORM.DIST(L117,0,1,TRUE))</f>
        <v>1.6018264271275491</v>
      </c>
      <c r="N117" s="3">
        <f>EXP(-E117*J117)*(G117*_xlfn.NORM.DIST(-L117,0,1,TRUE)-D117*_xlfn.NORM.DIST(-K117,0,1,TRUE))</f>
        <v>2478.9601567135965</v>
      </c>
      <c r="O117" s="3" t="b">
        <f>(M117-N117)=EXP(-E117*J117)*(D117-G117)</f>
        <v>1</v>
      </c>
    </row>
    <row r="118" spans="1:15" x14ac:dyDescent="0.3">
      <c r="A118" s="1">
        <v>45987</v>
      </c>
      <c r="B118" t="s">
        <v>6</v>
      </c>
      <c r="C118">
        <v>6812.61</v>
      </c>
      <c r="D118">
        <v>6987.1010800000004</v>
      </c>
      <c r="E118" s="2">
        <v>3.5904857609858329E-2</v>
      </c>
      <c r="F118" s="1">
        <v>46283</v>
      </c>
      <c r="G118">
        <v>10218.915000000001</v>
      </c>
      <c r="H118">
        <v>0.14605699999999999</v>
      </c>
      <c r="J118" s="3">
        <f t="shared" si="1"/>
        <v>0.81095890410958904</v>
      </c>
      <c r="K118" s="3">
        <f>(LN(D118/G118)+H118^2*J118/2)/(H118*SQRT(J118))</f>
        <v>-2.8246582719128561</v>
      </c>
      <c r="L118" s="3">
        <f>K118-H118*SQRT(J118)</f>
        <v>-2.9561873570416042</v>
      </c>
      <c r="M118" s="3">
        <f>EXP(-E118*J118)*(D118*_xlfn.NORM.DIST(K118,0,1,TRUE)-G118*_xlfn.NORM.DIST(L118,0,1,TRUE))</f>
        <v>0.60320883721059615</v>
      </c>
      <c r="N118" s="3">
        <f>EXP(-E118*J118)*(G118*_xlfn.NORM.DIST(-L118,0,1,TRUE)-D118*_xlfn.NORM.DIST(-K118,0,1,TRUE))</f>
        <v>3139.6720255892178</v>
      </c>
      <c r="O118" s="3" t="b">
        <f>(M118-N118)=EXP(-E118*J118)*(D118-G118)</f>
        <v>1</v>
      </c>
    </row>
    <row r="119" spans="1:15" x14ac:dyDescent="0.3">
      <c r="A119" s="1">
        <v>45987</v>
      </c>
      <c r="B119" t="s">
        <v>6</v>
      </c>
      <c r="C119">
        <v>6812.61</v>
      </c>
      <c r="D119">
        <v>7032.8086300000004</v>
      </c>
      <c r="E119" s="2">
        <v>3.4848823906390942E-2</v>
      </c>
      <c r="F119" s="1">
        <v>46374</v>
      </c>
      <c r="G119">
        <v>3406.3049999999998</v>
      </c>
      <c r="H119">
        <v>0.39210800000000001</v>
      </c>
      <c r="J119" s="3">
        <f t="shared" si="1"/>
        <v>1.0602739726027397</v>
      </c>
      <c r="K119" s="3">
        <f>(LN(D119/G119)+H119^2*J119/2)/(H119*SQRT(J119))</f>
        <v>1.997428521555846</v>
      </c>
      <c r="L119" s="3">
        <f>K119-H119*SQRT(J119)</f>
        <v>1.5936764595043051</v>
      </c>
      <c r="M119" s="3">
        <f>EXP(-E119*J119)*(D119*_xlfn.NORM.DIST(K119,0,1,TRUE)-G119*_xlfn.NORM.DIST(L119,0,1,TRUE))</f>
        <v>3522.0214777450269</v>
      </c>
      <c r="N119" s="3">
        <f>EXP(-E119*J119)*(G119*_xlfn.NORM.DIST(-L119,0,1,TRUE)-D119*_xlfn.NORM.DIST(-K119,0,1,TRUE))</f>
        <v>27.069288541246426</v>
      </c>
      <c r="O119" s="3" t="b">
        <f>(M119-N119)=EXP(-E119*J119)*(D119-G119)</f>
        <v>1</v>
      </c>
    </row>
    <row r="120" spans="1:15" x14ac:dyDescent="0.3">
      <c r="A120" s="1">
        <v>45987</v>
      </c>
      <c r="B120" t="s">
        <v>6</v>
      </c>
      <c r="C120">
        <v>6812.61</v>
      </c>
      <c r="D120">
        <v>7032.8086300000004</v>
      </c>
      <c r="E120" s="2">
        <v>3.4848823906390942E-2</v>
      </c>
      <c r="F120" s="1">
        <v>46374</v>
      </c>
      <c r="G120">
        <v>4087.5659999999998</v>
      </c>
      <c r="H120">
        <v>0.33844799999999997</v>
      </c>
      <c r="J120" s="3">
        <f t="shared" si="1"/>
        <v>1.0602739726027397</v>
      </c>
      <c r="K120" s="3">
        <f>(LN(D120/G120)+H120^2*J120/2)/(H120*SQRT(J120))</f>
        <v>1.7313186916900896</v>
      </c>
      <c r="L120" s="3">
        <f>K120-H120*SQRT(J120)</f>
        <v>1.3828201201301624</v>
      </c>
      <c r="M120" s="3">
        <f>EXP(-E120*J120)*(D120*_xlfn.NORM.DIST(K120,0,1,TRUE)-G120*_xlfn.NORM.DIST(L120,0,1,TRUE))</f>
        <v>2884.1704979729029</v>
      </c>
      <c r="N120" s="3">
        <f>EXP(-E120*J120)*(G120*_xlfn.NORM.DIST(-L120,0,1,TRUE)-D120*_xlfn.NORM.DIST(-K120,0,1,TRUE))</f>
        <v>45.76656193305422</v>
      </c>
      <c r="O120" s="3" t="b">
        <f>(M120-N120)=EXP(-E120*J120)*(D120-G120)</f>
        <v>1</v>
      </c>
    </row>
    <row r="121" spans="1:15" x14ac:dyDescent="0.3">
      <c r="A121" s="1">
        <v>45987</v>
      </c>
      <c r="B121" t="s">
        <v>6</v>
      </c>
      <c r="C121">
        <v>6812.61</v>
      </c>
      <c r="D121">
        <v>7032.8086300000004</v>
      </c>
      <c r="E121" s="2">
        <v>3.4848823906390942E-2</v>
      </c>
      <c r="F121" s="1">
        <v>46374</v>
      </c>
      <c r="G121">
        <v>4768.8269999999993</v>
      </c>
      <c r="H121">
        <v>0.29308600000000001</v>
      </c>
      <c r="J121" s="3">
        <f t="shared" si="1"/>
        <v>1.0602739726027397</v>
      </c>
      <c r="K121" s="3">
        <f>(LN(D121/G121)+H121^2*J121/2)/(H121*SQRT(J121))</f>
        <v>1.4381687775365852</v>
      </c>
      <c r="L121" s="3">
        <f>K121-H121*SQRT(J121)</f>
        <v>1.1363792785759981</v>
      </c>
      <c r="M121" s="3">
        <f>EXP(-E121*J121)*(D121*_xlfn.NORM.DIST(K121,0,1,TRUE)-G121*_xlfn.NORM.DIST(L121,0,1,TRUE))</f>
        <v>2260.0227399050254</v>
      </c>
      <c r="N121" s="3">
        <f>EXP(-E121*J121)*(G121*_xlfn.NORM.DIST(-L121,0,1,TRUE)-D121*_xlfn.NORM.DIST(-K121,0,1,TRUE))</f>
        <v>78.167057029107838</v>
      </c>
      <c r="O121" s="3" t="b">
        <f>(M121-N121)=EXP(-E121*J121)*(D121-G121)</f>
        <v>1</v>
      </c>
    </row>
    <row r="122" spans="1:15" x14ac:dyDescent="0.3">
      <c r="A122" s="1">
        <v>45987</v>
      </c>
      <c r="B122" t="s">
        <v>6</v>
      </c>
      <c r="C122">
        <v>6812.61</v>
      </c>
      <c r="D122">
        <v>7032.8086300000004</v>
      </c>
      <c r="E122" s="2">
        <v>3.4848823906390942E-2</v>
      </c>
      <c r="F122" s="1">
        <v>46374</v>
      </c>
      <c r="G122">
        <v>5450.0879999999997</v>
      </c>
      <c r="H122">
        <v>0.254722</v>
      </c>
      <c r="J122" s="3">
        <f t="shared" si="1"/>
        <v>1.0602739726027397</v>
      </c>
      <c r="K122" s="3">
        <f>(LN(D122/G122)+H122^2*J122/2)/(H122*SQRT(J122))</f>
        <v>1.1031895066152346</v>
      </c>
      <c r="L122" s="3">
        <f>K122-H122*SQRT(J122)</f>
        <v>0.84090326723758202</v>
      </c>
      <c r="M122" s="3">
        <f>EXP(-E122*J122)*(D122*_xlfn.NORM.DIST(K122,0,1,TRUE)-G122*_xlfn.NORM.DIST(L122,0,1,TRUE))</f>
        <v>1662.0388862676266</v>
      </c>
      <c r="N122" s="3">
        <f>EXP(-E122*J122)*(G122*_xlfn.NORM.DIST(-L122,0,1,TRUE)-D122*_xlfn.NORM.DIST(-K122,0,1,TRUE))</f>
        <v>136.73145655564068</v>
      </c>
      <c r="O122" s="3" t="b">
        <f>(M122-N122)=EXP(-E122*J122)*(D122-G122)</f>
        <v>1</v>
      </c>
    </row>
    <row r="123" spans="1:15" x14ac:dyDescent="0.3">
      <c r="A123" s="1">
        <v>45987</v>
      </c>
      <c r="B123" t="s">
        <v>6</v>
      </c>
      <c r="C123">
        <v>6812.61</v>
      </c>
      <c r="D123">
        <v>7032.8086300000004</v>
      </c>
      <c r="E123" s="2">
        <v>3.4848823906390942E-2</v>
      </c>
      <c r="F123" s="1">
        <v>46374</v>
      </c>
      <c r="G123">
        <v>6131.3490000000002</v>
      </c>
      <c r="H123">
        <v>0.22035199999999999</v>
      </c>
      <c r="J123" s="3">
        <f t="shared" si="1"/>
        <v>1.0602739726027397</v>
      </c>
      <c r="K123" s="3">
        <f>(LN(D123/G123)+H123^2*J123/2)/(H123*SQRT(J123))</f>
        <v>0.71800497351719472</v>
      </c>
      <c r="L123" s="3">
        <f>K123-H123*SQRT(J123)</f>
        <v>0.4911093876653857</v>
      </c>
      <c r="M123" s="3">
        <f>EXP(-E123*J123)*(D123*_xlfn.NORM.DIST(K123,0,1,TRUE)-G123*_xlfn.NORM.DIST(L123,0,1,TRUE))</f>
        <v>1108.3319640217967</v>
      </c>
      <c r="N123" s="3">
        <f>EXP(-E123*J123)*(G123*_xlfn.NORM.DIST(-L123,0,1,TRUE)-D123*_xlfn.NORM.DIST(-K123,0,1,TRUE))</f>
        <v>239.57278747374212</v>
      </c>
      <c r="O123" s="3" t="b">
        <f>(M123-N123)=EXP(-E123*J123)*(D123-G123)</f>
        <v>0</v>
      </c>
    </row>
    <row r="124" spans="1:15" x14ac:dyDescent="0.3">
      <c r="A124" s="1">
        <v>45987</v>
      </c>
      <c r="B124" t="s">
        <v>6</v>
      </c>
      <c r="C124">
        <v>6812.61</v>
      </c>
      <c r="D124">
        <v>7032.8086300000004</v>
      </c>
      <c r="E124" s="2">
        <v>3.4848823906390942E-2</v>
      </c>
      <c r="F124" s="1">
        <v>46374</v>
      </c>
      <c r="G124">
        <v>6471.9794999999995</v>
      </c>
      <c r="H124">
        <v>0.20297399999999999</v>
      </c>
      <c r="J124" s="3">
        <f t="shared" si="1"/>
        <v>1.0602739726027397</v>
      </c>
      <c r="K124" s="3">
        <f>(LN(D124/G124)+H124^2*J124/2)/(H124*SQRT(J124))</f>
        <v>0.50212529464120348</v>
      </c>
      <c r="L124" s="3">
        <f>K124-H124*SQRT(J124)</f>
        <v>0.29312376689157982</v>
      </c>
      <c r="M124" s="3">
        <f>EXP(-E124*J124)*(D124*_xlfn.NORM.DIST(K124,0,1,TRUE)-G124*_xlfn.NORM.DIST(L124,0,1,TRUE))</f>
        <v>853.92084813284521</v>
      </c>
      <c r="N124" s="3">
        <f>EXP(-E124*J124)*(G124*_xlfn.NORM.DIST(-L124,0,1,TRUE)-D124*_xlfn.NORM.DIST(-K124,0,1,TRUE))</f>
        <v>313.43579816675589</v>
      </c>
      <c r="O124" s="3" t="b">
        <f>(M124-N124)=EXP(-E124*J124)*(D124-G124)</f>
        <v>1</v>
      </c>
    </row>
    <row r="125" spans="1:15" x14ac:dyDescent="0.3">
      <c r="A125" s="1">
        <v>45987</v>
      </c>
      <c r="B125" t="s">
        <v>6</v>
      </c>
      <c r="C125">
        <v>6812.61</v>
      </c>
      <c r="D125">
        <v>7032.8086300000004</v>
      </c>
      <c r="E125" s="2">
        <v>3.4848823906390942E-2</v>
      </c>
      <c r="F125" s="1">
        <v>46374</v>
      </c>
      <c r="G125">
        <v>6812.61</v>
      </c>
      <c r="H125">
        <v>0.185334</v>
      </c>
      <c r="J125" s="3">
        <f t="shared" si="1"/>
        <v>1.0602739726027397</v>
      </c>
      <c r="K125" s="3">
        <f>(LN(D125/G125)+H125^2*J125/2)/(H125*SQRT(J125))</f>
        <v>0.26210939792304994</v>
      </c>
      <c r="L125" s="3">
        <f>K125-H125*SQRT(J125)</f>
        <v>7.1271708642901943E-2</v>
      </c>
      <c r="M125" s="3">
        <f>EXP(-E125*J125)*(D125*_xlfn.NORM.DIST(K125,0,1,TRUE)-G125*_xlfn.NORM.DIST(L125,0,1,TRUE))</f>
        <v>620.27283569687472</v>
      </c>
      <c r="N125" s="3">
        <f>EXP(-E125*J125)*(G125*_xlfn.NORM.DIST(-L125,0,1,TRUE)-D125*_xlfn.NORM.DIST(-K125,0,1,TRUE))</f>
        <v>408.06191231275119</v>
      </c>
      <c r="O125" s="3" t="b">
        <f>(M125-N125)=EXP(-E125*J125)*(D125-G125)</f>
        <v>1</v>
      </c>
    </row>
    <row r="126" spans="1:15" x14ac:dyDescent="0.3">
      <c r="A126" s="1">
        <v>45987</v>
      </c>
      <c r="B126" t="s">
        <v>6</v>
      </c>
      <c r="C126">
        <v>6812.61</v>
      </c>
      <c r="D126">
        <v>7032.8086300000004</v>
      </c>
      <c r="E126" s="2">
        <v>3.4848823906390942E-2</v>
      </c>
      <c r="F126" s="1">
        <v>46374</v>
      </c>
      <c r="G126">
        <v>7153.240499999999</v>
      </c>
      <c r="H126">
        <v>0.16844899999999999</v>
      </c>
      <c r="J126" s="3">
        <f t="shared" si="1"/>
        <v>1.0602739726027397</v>
      </c>
      <c r="K126" s="3">
        <f>(LN(D126/G126)+H126^2*J126/2)/(H126*SQRT(J126))</f>
        <v>-1.1165397505355876E-2</v>
      </c>
      <c r="L126" s="3">
        <f>K126-H126*SQRT(J126)</f>
        <v>-0.18461666884009015</v>
      </c>
      <c r="M126" s="3">
        <f>EXP(-E126*J126)*(D126*_xlfn.NORM.DIST(K126,0,1,TRUE)-G126*_xlfn.NORM.DIST(L126,0,1,TRUE))</f>
        <v>416.64407819748072</v>
      </c>
      <c r="N126" s="3">
        <f>EXP(-E126*J126)*(G126*_xlfn.NORM.DIST(-L126,0,1,TRUE)-D126*_xlfn.NORM.DIST(-K126,0,1,TRUE))</f>
        <v>532.70728139532218</v>
      </c>
      <c r="O126" s="3" t="b">
        <f>(M126-N126)=EXP(-E126*J126)*(D126-G126)</f>
        <v>0</v>
      </c>
    </row>
    <row r="127" spans="1:15" x14ac:dyDescent="0.3">
      <c r="A127" s="1">
        <v>45987</v>
      </c>
      <c r="B127" t="s">
        <v>6</v>
      </c>
      <c r="C127">
        <v>6812.61</v>
      </c>
      <c r="D127">
        <v>7032.8086300000004</v>
      </c>
      <c r="E127" s="2">
        <v>3.4848823906390942E-2</v>
      </c>
      <c r="F127" s="1">
        <v>46374</v>
      </c>
      <c r="G127">
        <v>7493.8710000000001</v>
      </c>
      <c r="H127">
        <v>0.15376400000000001</v>
      </c>
      <c r="J127" s="3">
        <f t="shared" si="1"/>
        <v>1.0602739726027397</v>
      </c>
      <c r="K127" s="3">
        <f>(LN(D127/G127)+H127^2*J127/2)/(H127*SQRT(J127))</f>
        <v>-0.32189134488452381</v>
      </c>
      <c r="L127" s="3">
        <f>K127-H127*SQRT(J127)</f>
        <v>-0.48022152960223707</v>
      </c>
      <c r="M127" s="3">
        <f>EXP(-E127*J127)*(D127*_xlfn.NORM.DIST(K127,0,1,TRUE)-G127*_xlfn.NORM.DIST(L127,0,1,TRUE))</f>
        <v>254.47852499312077</v>
      </c>
      <c r="N127" s="3">
        <f>EXP(-E127*J127)*(G127*_xlfn.NORM.DIST(-L127,0,1,TRUE)-D127*_xlfn.NORM.DIST(-K127,0,1,TRUE))</f>
        <v>698.81585477292856</v>
      </c>
      <c r="O127" s="3" t="b">
        <f>(M127-N127)=EXP(-E127*J127)*(D127-G127)</f>
        <v>1</v>
      </c>
    </row>
    <row r="128" spans="1:15" x14ac:dyDescent="0.3">
      <c r="A128" s="1">
        <v>45987</v>
      </c>
      <c r="B128" t="s">
        <v>6</v>
      </c>
      <c r="C128">
        <v>6812.61</v>
      </c>
      <c r="D128">
        <v>7032.8086300000004</v>
      </c>
      <c r="E128" s="2">
        <v>3.4848823906390942E-2</v>
      </c>
      <c r="F128" s="1">
        <v>46374</v>
      </c>
      <c r="G128">
        <v>8175.1319999999996</v>
      </c>
      <c r="H128">
        <v>0.136793</v>
      </c>
      <c r="J128" s="3">
        <f t="shared" si="1"/>
        <v>1.0602739726027397</v>
      </c>
      <c r="K128" s="3">
        <f>(LN(D128/G128)+H128^2*J128/2)/(H128*SQRT(J128))</f>
        <v>-0.99812153467840581</v>
      </c>
      <c r="L128" s="3">
        <f>K128-H128*SQRT(J128)</f>
        <v>-1.1389767475896864</v>
      </c>
      <c r="M128" s="3">
        <f>EXP(-E128*J128)*(D128*_xlfn.NORM.DIST(K128,0,1,TRUE)-G128*_xlfn.NORM.DIST(L128,0,1,TRUE))</f>
        <v>75.012588224299535</v>
      </c>
      <c r="N128" s="3">
        <f>EXP(-E128*J128)*(G128*_xlfn.NORM.DIST(-L128,0,1,TRUE)-D128*_xlfn.NORM.DIST(-K128,0,1,TRUE))</f>
        <v>1175.8981711680392</v>
      </c>
      <c r="O128" s="3" t="b">
        <f>(M128-N128)=EXP(-E128*J128)*(D128-G128)</f>
        <v>1</v>
      </c>
    </row>
    <row r="129" spans="1:15" x14ac:dyDescent="0.3">
      <c r="A129" s="1">
        <v>45987</v>
      </c>
      <c r="B129" t="s">
        <v>6</v>
      </c>
      <c r="C129">
        <v>6812.61</v>
      </c>
      <c r="D129">
        <v>7032.8086300000004</v>
      </c>
      <c r="E129" s="2">
        <v>3.4848823906390942E-2</v>
      </c>
      <c r="F129" s="1">
        <v>46374</v>
      </c>
      <c r="G129">
        <v>8856.393</v>
      </c>
      <c r="H129">
        <v>0.132962</v>
      </c>
      <c r="J129" s="3">
        <f t="shared" si="1"/>
        <v>1.0602739726027397</v>
      </c>
      <c r="K129" s="3">
        <f>(LN(D129/G129)+H129^2*J129/2)/(H129*SQRT(J129))</f>
        <v>-1.615517248724146</v>
      </c>
      <c r="L129" s="3">
        <f>K129-H129*SQRT(J129)</f>
        <v>-1.7524276960358482</v>
      </c>
      <c r="M129" s="3">
        <f>EXP(-E129*J129)*(D129*_xlfn.NORM.DIST(K129,0,1,TRUE)-G129*_xlfn.NORM.DIST(L129,0,1,TRUE))</f>
        <v>19.765141175723063</v>
      </c>
      <c r="N129" s="3">
        <f>EXP(-E129*J129)*(G129*_xlfn.NORM.DIST(-L129,0,1,TRUE)-D129*_xlfn.NORM.DIST(-K129,0,1,TRUE))</f>
        <v>1777.198977283394</v>
      </c>
      <c r="O129" s="3" t="b">
        <f>(M129-N129)=EXP(-E129*J129)*(D129-G129)</f>
        <v>1</v>
      </c>
    </row>
    <row r="130" spans="1:15" x14ac:dyDescent="0.3">
      <c r="A130" s="1">
        <v>45987</v>
      </c>
      <c r="B130" t="s">
        <v>6</v>
      </c>
      <c r="C130">
        <v>6812.61</v>
      </c>
      <c r="D130">
        <v>7032.8086300000004</v>
      </c>
      <c r="E130" s="2">
        <v>3.4848823906390942E-2</v>
      </c>
      <c r="F130" s="1">
        <v>46374</v>
      </c>
      <c r="G130">
        <v>9537.6539999999986</v>
      </c>
      <c r="H130">
        <v>0.13431899999999999</v>
      </c>
      <c r="J130" s="3">
        <f t="shared" si="1"/>
        <v>1.0602739726027397</v>
      </c>
      <c r="K130" s="3">
        <f>(LN(D130/G130)+H130^2*J130/2)/(H130*SQRT(J130))</f>
        <v>-2.1336251325322095</v>
      </c>
      <c r="L130" s="3">
        <f>K130-H130*SQRT(J130)</f>
        <v>-2.2719328773951069</v>
      </c>
      <c r="M130" s="3">
        <f>EXP(-E130*J130)*(D130*_xlfn.NORM.DIST(K130,0,1,TRUE)-G130*_xlfn.NORM.DIST(L130,0,1,TRUE))</f>
        <v>5.282691930052442</v>
      </c>
      <c r="N130" s="3">
        <f>EXP(-E130*J130)*(G130*_xlfn.NORM.DIST(-L130,0,1,TRUE)-D130*_xlfn.NORM.DIST(-K130,0,1,TRUE))</f>
        <v>2419.2647812016539</v>
      </c>
      <c r="O130" s="3" t="b">
        <f>(M130-N130)=EXP(-E130*J130)*(D130-G130)</f>
        <v>1</v>
      </c>
    </row>
    <row r="131" spans="1:15" x14ac:dyDescent="0.3">
      <c r="A131" s="1">
        <v>45987</v>
      </c>
      <c r="B131" t="s">
        <v>6</v>
      </c>
      <c r="C131">
        <v>6812.61</v>
      </c>
      <c r="D131">
        <v>7032.8086300000004</v>
      </c>
      <c r="E131" s="2">
        <v>3.4848823906390942E-2</v>
      </c>
      <c r="F131" s="1">
        <v>46374</v>
      </c>
      <c r="G131">
        <v>10218.915000000001</v>
      </c>
      <c r="H131">
        <v>0.13578899999999999</v>
      </c>
      <c r="J131" s="3">
        <f t="shared" ref="J131:J194" si="2">(F131-A131)/365</f>
        <v>1.0602739726027397</v>
      </c>
      <c r="K131" s="3">
        <f>(LN(D131/G131)+H131^2*J131/2)/(H131*SQRT(J131))</f>
        <v>-2.6024575740339562</v>
      </c>
      <c r="L131" s="3">
        <f>K131-H131*SQRT(J131)</f>
        <v>-2.742278972102643</v>
      </c>
      <c r="M131" s="3">
        <f>EXP(-E131*J131)*(D131*_xlfn.NORM.DIST(K131,0,1,TRUE)-G131*_xlfn.NORM.DIST(L131,0,1,TRUE))</f>
        <v>1.322356536930922</v>
      </c>
      <c r="N131" s="3">
        <f>EXP(-E131*J131)*(G131*_xlfn.NORM.DIST(-L131,0,1,TRUE)-D131*_xlfn.NORM.DIST(-K131,0,1,TRUE))</f>
        <v>3071.8526989724642</v>
      </c>
      <c r="O131" s="3" t="b">
        <f>(M131-N131)=EXP(-E131*J131)*(D131-G131)</f>
        <v>1</v>
      </c>
    </row>
    <row r="132" spans="1:15" x14ac:dyDescent="0.3">
      <c r="A132" s="1">
        <v>45987</v>
      </c>
      <c r="B132" t="s">
        <v>6</v>
      </c>
      <c r="C132">
        <v>6812.61</v>
      </c>
      <c r="D132">
        <v>7130.58439</v>
      </c>
      <c r="E132" s="2">
        <v>3.3410785266425727E-2</v>
      </c>
      <c r="F132" s="1">
        <v>46555</v>
      </c>
      <c r="G132">
        <v>3406.3049999999998</v>
      </c>
      <c r="H132">
        <v>0.35641400000000006</v>
      </c>
      <c r="J132" s="3">
        <f t="shared" si="2"/>
        <v>1.5561643835616439</v>
      </c>
      <c r="K132" s="3">
        <f>(LN(D132/G132)+H132^2*J132/2)/(H132*SQRT(J132))</f>
        <v>1.8838966368180126</v>
      </c>
      <c r="L132" s="3">
        <f>K132-H132*SQRT(J132)</f>
        <v>1.4392832952520707</v>
      </c>
      <c r="M132" s="3">
        <f>EXP(-E132*J132)*(D132*_xlfn.NORM.DIST(K132,0,1,TRUE)-G132*_xlfn.NORM.DIST(L132,0,1,TRUE))</f>
        <v>3576.5805166436903</v>
      </c>
      <c r="N132" s="3">
        <f>EXP(-E132*J132)*(G132*_xlfn.NORM.DIST(-L132,0,1,TRUE)-D132*_xlfn.NORM.DIST(-K132,0,1,TRUE))</f>
        <v>40.988682084370936</v>
      </c>
      <c r="O132" s="3" t="b">
        <f>(M132-N132)=EXP(-E132*J132)*(D132-G132)</f>
        <v>1</v>
      </c>
    </row>
    <row r="133" spans="1:15" x14ac:dyDescent="0.3">
      <c r="A133" s="1">
        <v>45987</v>
      </c>
      <c r="B133" t="s">
        <v>6</v>
      </c>
      <c r="C133">
        <v>6812.61</v>
      </c>
      <c r="D133">
        <v>7130.58439</v>
      </c>
      <c r="E133" s="2">
        <v>3.3410785266425727E-2</v>
      </c>
      <c r="F133" s="1">
        <v>46555</v>
      </c>
      <c r="G133">
        <v>4087.5659999999998</v>
      </c>
      <c r="H133">
        <v>0.31375199999999998</v>
      </c>
      <c r="J133" s="3">
        <f t="shared" si="2"/>
        <v>1.5561643835616439</v>
      </c>
      <c r="K133" s="3">
        <f>(LN(D133/G133)+H133^2*J133/2)/(H133*SQRT(J133))</f>
        <v>1.6173933664972495</v>
      </c>
      <c r="L133" s="3">
        <f>K133-H133*SQRT(J133)</f>
        <v>1.22599929908408</v>
      </c>
      <c r="M133" s="3">
        <f>EXP(-E133*J133)*(D133*_xlfn.NORM.DIST(K133,0,1,TRUE)-G133*_xlfn.NORM.DIST(L133,0,1,TRUE))</f>
        <v>2958.0097273459032</v>
      </c>
      <c r="N133" s="3">
        <f>EXP(-E133*J133)*(G133*_xlfn.NORM.DIST(-L133,0,1,TRUE)-D133*_xlfn.NORM.DIST(-K133,0,1,TRUE))</f>
        <v>69.163363943009699</v>
      </c>
      <c r="O133" s="3" t="b">
        <f>(M133-N133)=EXP(-E133*J133)*(D133-G133)</f>
        <v>1</v>
      </c>
    </row>
    <row r="134" spans="1:15" x14ac:dyDescent="0.3">
      <c r="A134" s="1">
        <v>45987</v>
      </c>
      <c r="B134" t="s">
        <v>6</v>
      </c>
      <c r="C134">
        <v>6812.61</v>
      </c>
      <c r="D134">
        <v>7130.58439</v>
      </c>
      <c r="E134" s="2">
        <v>3.3410785266425727E-2</v>
      </c>
      <c r="F134" s="1">
        <v>46555</v>
      </c>
      <c r="G134">
        <v>4768.8269999999993</v>
      </c>
      <c r="H134">
        <v>0.27805600000000003</v>
      </c>
      <c r="J134" s="3">
        <f t="shared" si="2"/>
        <v>1.5561643835616439</v>
      </c>
      <c r="K134" s="3">
        <f>(LN(D134/G134)+H134^2*J134/2)/(H134*SQRT(J134))</f>
        <v>1.3332301260677508</v>
      </c>
      <c r="L134" s="3">
        <f>K134-H134*SQRT(J134)</f>
        <v>0.98636550430076197</v>
      </c>
      <c r="M134" s="3">
        <f>EXP(-E134*J134)*(D134*_xlfn.NORM.DIST(K134,0,1,TRUE)-G134*_xlfn.NORM.DIST(L134,0,1,TRUE))</f>
        <v>2357.853194359499</v>
      </c>
      <c r="N134" s="3">
        <f>EXP(-E134*J134)*(G134*_xlfn.NORM.DIST(-L134,0,1,TRUE)-D134*_xlfn.NORM.DIST(-K134,0,1,TRUE))</f>
        <v>115.75230211303101</v>
      </c>
      <c r="O134" s="3" t="b">
        <f>(M134-N134)=EXP(-E134*J134)*(D134-G134)</f>
        <v>1</v>
      </c>
    </row>
    <row r="135" spans="1:15" x14ac:dyDescent="0.3">
      <c r="A135" s="1">
        <v>45987</v>
      </c>
      <c r="B135" t="s">
        <v>6</v>
      </c>
      <c r="C135">
        <v>6812.61</v>
      </c>
      <c r="D135">
        <v>7130.58439</v>
      </c>
      <c r="E135" s="2">
        <v>3.3410785266425727E-2</v>
      </c>
      <c r="F135" s="1">
        <v>46555</v>
      </c>
      <c r="G135">
        <v>5450.0879999999997</v>
      </c>
      <c r="H135">
        <v>0.24729300000000001</v>
      </c>
      <c r="J135" s="3">
        <f t="shared" si="2"/>
        <v>1.5561643835616439</v>
      </c>
      <c r="K135" s="3">
        <f>(LN(D135/G135)+H135^2*J135/2)/(H135*SQRT(J135))</f>
        <v>1.0254635741672478</v>
      </c>
      <c r="L135" s="3">
        <f>K135-H135*SQRT(J135)</f>
        <v>0.71697466218324468</v>
      </c>
      <c r="M135" s="3">
        <f>EXP(-E135*J135)*(D135*_xlfn.NORM.DIST(K135,0,1,TRUE)-G135*_xlfn.NORM.DIST(L135,0,1,TRUE))</f>
        <v>1787.1958052643472</v>
      </c>
      <c r="N135" s="3">
        <f>EXP(-E135*J135)*(G135*_xlfn.NORM.DIST(-L135,0,1,TRUE)-D135*_xlfn.NORM.DIST(-K135,0,1,TRUE))</f>
        <v>191.84038417430577</v>
      </c>
      <c r="O135" s="3" t="b">
        <f>(M135-N135)=EXP(-E135*J135)*(D135-G135)</f>
        <v>1</v>
      </c>
    </row>
    <row r="136" spans="1:15" x14ac:dyDescent="0.3">
      <c r="A136" s="1">
        <v>45987</v>
      </c>
      <c r="B136" t="s">
        <v>6</v>
      </c>
      <c r="C136">
        <v>6812.61</v>
      </c>
      <c r="D136">
        <v>7130.58439</v>
      </c>
      <c r="E136" s="2">
        <v>3.3410785266425727E-2</v>
      </c>
      <c r="F136" s="1">
        <v>46555</v>
      </c>
      <c r="G136">
        <v>6131.3490000000002</v>
      </c>
      <c r="H136">
        <v>0.21884700000000001</v>
      </c>
      <c r="J136" s="3">
        <f t="shared" si="2"/>
        <v>1.5561643835616439</v>
      </c>
      <c r="K136" s="3">
        <f>(LN(D136/G136)+H136^2*J136/2)/(H136*SQRT(J136))</f>
        <v>0.68952898673853824</v>
      </c>
      <c r="L136" s="3">
        <f>K136-H136*SQRT(J136)</f>
        <v>0.41652541235121987</v>
      </c>
      <c r="M136" s="3">
        <f>EXP(-E136*J136)*(D136*_xlfn.NORM.DIST(K136,0,1,TRUE)-G136*_xlfn.NORM.DIST(L136,0,1,TRUE))</f>
        <v>1258.8512939937295</v>
      </c>
      <c r="N136" s="3">
        <f>EXP(-E136*J136)*(G136*_xlfn.NORM.DIST(-L136,0,1,TRUE)-D136*_xlfn.NORM.DIST(-K136,0,1,TRUE))</f>
        <v>310.24134406011393</v>
      </c>
      <c r="O136" s="3" t="b">
        <f>(M136-N136)=EXP(-E136*J136)*(D136-G136)</f>
        <v>1</v>
      </c>
    </row>
    <row r="137" spans="1:15" x14ac:dyDescent="0.3">
      <c r="A137" s="1">
        <v>45987</v>
      </c>
      <c r="B137" t="s">
        <v>6</v>
      </c>
      <c r="C137">
        <v>6812.61</v>
      </c>
      <c r="D137">
        <v>7130.58439</v>
      </c>
      <c r="E137" s="2">
        <v>3.3410785266425727E-2</v>
      </c>
      <c r="F137" s="1">
        <v>46555</v>
      </c>
      <c r="G137">
        <v>6471.9794999999995</v>
      </c>
      <c r="H137">
        <v>0.20458699999999999</v>
      </c>
      <c r="J137" s="3">
        <f t="shared" si="2"/>
        <v>1.5561643835616439</v>
      </c>
      <c r="K137" s="3">
        <f>(LN(D137/G137)+H137^2*J137/2)/(H137*SQRT(J137))</f>
        <v>0.50733143513841494</v>
      </c>
      <c r="L137" s="3">
        <f>K137-H137*SQRT(J137)</f>
        <v>0.25211668568707085</v>
      </c>
      <c r="M137" s="3">
        <f>EXP(-E137*J137)*(D137*_xlfn.NORM.DIST(K137,0,1,TRUE)-G137*_xlfn.NORM.DIST(L137,0,1,TRUE))</f>
        <v>1014.6424907441112</v>
      </c>
      <c r="N137" s="3">
        <f>EXP(-E137*J137)*(G137*_xlfn.NORM.DIST(-L137,0,1,TRUE)-D137*_xlfn.NORM.DIST(-K137,0,1,TRUE))</f>
        <v>389.40527638870753</v>
      </c>
      <c r="O137" s="3" t="b">
        <f>(M137-N137)=EXP(-E137*J137)*(D137-G137)</f>
        <v>0</v>
      </c>
    </row>
    <row r="138" spans="1:15" x14ac:dyDescent="0.3">
      <c r="A138" s="1">
        <v>45987</v>
      </c>
      <c r="B138" t="s">
        <v>6</v>
      </c>
      <c r="C138">
        <v>6812.61</v>
      </c>
      <c r="D138">
        <v>7130.58439</v>
      </c>
      <c r="E138" s="2">
        <v>3.3410785266425727E-2</v>
      </c>
      <c r="F138" s="1">
        <v>46555</v>
      </c>
      <c r="G138">
        <v>6812.61</v>
      </c>
      <c r="H138">
        <v>0.19041699999999998</v>
      </c>
      <c r="J138" s="3">
        <f t="shared" si="2"/>
        <v>1.5561643835616439</v>
      </c>
      <c r="K138" s="3">
        <f>(LN(D138/G138)+H138^2*J138/2)/(H138*SQRT(J138))</f>
        <v>0.31081352413755264</v>
      </c>
      <c r="L138" s="3">
        <f>K138-H138*SQRT(J138)</f>
        <v>7.3275327936051182E-2</v>
      </c>
      <c r="M138" s="3">
        <f>EXP(-E138*J138)*(D138*_xlfn.NORM.DIST(K138,0,1,TRUE)-G138*_xlfn.NORM.DIST(L138,0,1,TRUE))</f>
        <v>788.0925410805861</v>
      </c>
      <c r="N138" s="3">
        <f>EXP(-E138*J138)*(G138*_xlfn.NORM.DIST(-L138,0,1,TRUE)-D138*_xlfn.NORM.DIST(-K138,0,1,TRUE))</f>
        <v>486.22806230339637</v>
      </c>
      <c r="O138" s="3" t="b">
        <f>(M138-N138)=EXP(-E138*J138)*(D138-G138)</f>
        <v>1</v>
      </c>
    </row>
    <row r="139" spans="1:15" x14ac:dyDescent="0.3">
      <c r="A139" s="1">
        <v>45987</v>
      </c>
      <c r="B139" t="s">
        <v>6</v>
      </c>
      <c r="C139">
        <v>6812.61</v>
      </c>
      <c r="D139">
        <v>7130.58439</v>
      </c>
      <c r="E139" s="2">
        <v>3.3410785266425727E-2</v>
      </c>
      <c r="F139" s="1">
        <v>46555</v>
      </c>
      <c r="G139">
        <v>7153.240499999999</v>
      </c>
      <c r="H139">
        <v>0.17671400000000001</v>
      </c>
      <c r="J139" s="3">
        <f t="shared" si="2"/>
        <v>1.5561643835616439</v>
      </c>
      <c r="K139" s="3">
        <f>(LN(D139/G139)+H139^2*J139/2)/(H139*SQRT(J139))</f>
        <v>9.5831716450552273E-2</v>
      </c>
      <c r="L139" s="3">
        <f>K139-H139*SQRT(J139)</f>
        <v>-0.1246124918058121</v>
      </c>
      <c r="M139" s="3">
        <f>EXP(-E139*J139)*(D139*_xlfn.NORM.DIST(K139,0,1,TRUE)-G139*_xlfn.NORM.DIST(L139,0,1,TRUE))</f>
        <v>584.3723538511</v>
      </c>
      <c r="N139" s="3">
        <f>EXP(-E139*J139)*(G139*_xlfn.NORM.DIST(-L139,0,1,TRUE)-D139*_xlfn.NORM.DIST(-K139,0,1,TRUE))</f>
        <v>605.88061065212219</v>
      </c>
      <c r="O139" s="3" t="b">
        <f>(M139-N139)=EXP(-E139*J139)*(D139-G139)</f>
        <v>1</v>
      </c>
    </row>
    <row r="140" spans="1:15" x14ac:dyDescent="0.3">
      <c r="A140" s="1">
        <v>45987</v>
      </c>
      <c r="B140" t="s">
        <v>6</v>
      </c>
      <c r="C140">
        <v>6812.61</v>
      </c>
      <c r="D140">
        <v>7130.58439</v>
      </c>
      <c r="E140" s="2">
        <v>3.3410785266425727E-2</v>
      </c>
      <c r="F140" s="1">
        <v>46555</v>
      </c>
      <c r="G140">
        <v>7493.8710000000001</v>
      </c>
      <c r="H140">
        <v>0.16397500000000001</v>
      </c>
      <c r="J140" s="3">
        <f t="shared" si="2"/>
        <v>1.5561643835616439</v>
      </c>
      <c r="K140" s="3">
        <f>(LN(D140/G140)+H140^2*J140/2)/(H140*SQRT(J140))</f>
        <v>-0.14065501891334861</v>
      </c>
      <c r="L140" s="3">
        <f>K140-H140*SQRT(J140)</f>
        <v>-0.34520779372936405</v>
      </c>
      <c r="M140" s="3">
        <f>EXP(-E140*J140)*(D140*_xlfn.NORM.DIST(K140,0,1,TRUE)-G140*_xlfn.NORM.DIST(L140,0,1,TRUE))</f>
        <v>409.59687617116941</v>
      </c>
      <c r="N140" s="3">
        <f>EXP(-E140*J140)*(G140*_xlfn.NORM.DIST(-L140,0,1,TRUE)-D140*_xlfn.NORM.DIST(-K140,0,1,TRUE))</f>
        <v>754.47786855040556</v>
      </c>
      <c r="O140" s="3" t="b">
        <f>(M140-N140)=EXP(-E140*J140)*(D140-G140)</f>
        <v>1</v>
      </c>
    </row>
    <row r="141" spans="1:15" x14ac:dyDescent="0.3">
      <c r="A141" s="1">
        <v>45987</v>
      </c>
      <c r="B141" t="s">
        <v>6</v>
      </c>
      <c r="C141">
        <v>6812.61</v>
      </c>
      <c r="D141">
        <v>7130.58439</v>
      </c>
      <c r="E141" s="2">
        <v>3.3410785266425727E-2</v>
      </c>
      <c r="F141" s="1">
        <v>46555</v>
      </c>
      <c r="G141">
        <v>8175.1319999999996</v>
      </c>
      <c r="H141">
        <v>0.14469099999999999</v>
      </c>
      <c r="J141" s="3">
        <f t="shared" si="2"/>
        <v>1.5561643835616439</v>
      </c>
      <c r="K141" s="3">
        <f>(LN(D141/G141)+H141^2*J141/2)/(H141*SQRT(J141))</f>
        <v>-0.66712657482143245</v>
      </c>
      <c r="L141" s="3">
        <f>K141-H141*SQRT(J141)</f>
        <v>-0.84762326968896762</v>
      </c>
      <c r="M141" s="3">
        <f>EXP(-E141*J141)*(D141*_xlfn.NORM.DIST(K141,0,1,TRUE)-G141*_xlfn.NORM.DIST(L141,0,1,TRUE))</f>
        <v>169.02715409040167</v>
      </c>
      <c r="N141" s="3">
        <f>EXP(-E141*J141)*(G141*_xlfn.NORM.DIST(-L141,0,1,TRUE)-D141*_xlfn.NORM.DIST(-K141,0,1,TRUE))</f>
        <v>1160.6536176260634</v>
      </c>
      <c r="O141" s="3" t="b">
        <f>(M141-N141)=EXP(-E141*J141)*(D141-G141)</f>
        <v>1</v>
      </c>
    </row>
    <row r="142" spans="1:15" x14ac:dyDescent="0.3">
      <c r="A142" s="1">
        <v>45987</v>
      </c>
      <c r="B142" t="s">
        <v>6</v>
      </c>
      <c r="C142">
        <v>6812.61</v>
      </c>
      <c r="D142">
        <v>7130.58439</v>
      </c>
      <c r="E142" s="2">
        <v>3.3410785266425727E-2</v>
      </c>
      <c r="F142" s="1">
        <v>46555</v>
      </c>
      <c r="G142">
        <v>8856.393</v>
      </c>
      <c r="H142">
        <v>0.13503499999999999</v>
      </c>
      <c r="J142" s="3">
        <f t="shared" si="2"/>
        <v>1.5561643835616439</v>
      </c>
      <c r="K142" s="3">
        <f>(LN(D142/G142)+H142^2*J142/2)/(H142*SQRT(J142))</f>
        <v>-1.202475777401947</v>
      </c>
      <c r="L142" s="3">
        <f>K142-H142*SQRT(J142)</f>
        <v>-1.3709269678107328</v>
      </c>
      <c r="M142" s="3">
        <f>EXP(-E142*J142)*(D142*_xlfn.NORM.DIST(K142,0,1,TRUE)-G142*_xlfn.NORM.DIST(L142,0,1,TRUE))</f>
        <v>59.368017672788554</v>
      </c>
      <c r="N142" s="3">
        <f>EXP(-E142*J142)*(G142*_xlfn.NORM.DIST(-L142,0,1,TRUE)-D142*_xlfn.NORM.DIST(-K142,0,1,TRUE))</f>
        <v>1697.739952364876</v>
      </c>
      <c r="O142" s="3" t="b">
        <f>(M142-N142)=EXP(-E142*J142)*(D142-G142)</f>
        <v>1</v>
      </c>
    </row>
    <row r="143" spans="1:15" x14ac:dyDescent="0.3">
      <c r="A143" s="1">
        <v>45987</v>
      </c>
      <c r="B143" t="s">
        <v>6</v>
      </c>
      <c r="C143">
        <v>6812.61</v>
      </c>
      <c r="D143">
        <v>7130.58439</v>
      </c>
      <c r="E143" s="2">
        <v>3.3410785266425727E-2</v>
      </c>
      <c r="F143" s="1">
        <v>46555</v>
      </c>
      <c r="G143">
        <v>9537.6539999999986</v>
      </c>
      <c r="H143">
        <v>0.133494</v>
      </c>
      <c r="J143" s="3">
        <f t="shared" si="2"/>
        <v>1.5561643835616439</v>
      </c>
      <c r="K143" s="3">
        <f>(LN(D143/G143)+H143^2*J143/2)/(H143*SQRT(J143))</f>
        <v>-1.6633059182834429</v>
      </c>
      <c r="L143" s="3">
        <f>K143-H143*SQRT(J143)</f>
        <v>-1.8298347679330185</v>
      </c>
      <c r="M143" s="3">
        <f>EXP(-E143*J143)*(D143*_xlfn.NORM.DIST(K143,0,1,TRUE)-G143*_xlfn.NORM.DIST(L143,0,1,TRUE))</f>
        <v>21.210570070178715</v>
      </c>
      <c r="N143" s="3">
        <f>EXP(-E143*J143)*(G143*_xlfn.NORM.DIST(-L143,0,1,TRUE)-D143*_xlfn.NORM.DIST(-K143,0,1,TRUE))</f>
        <v>2306.3279759186921</v>
      </c>
      <c r="O143" s="3" t="b">
        <f>(M143-N143)=EXP(-E143*J143)*(D143-G143)</f>
        <v>1</v>
      </c>
    </row>
    <row r="144" spans="1:15" x14ac:dyDescent="0.3">
      <c r="A144" s="1">
        <v>45987</v>
      </c>
      <c r="B144" t="s">
        <v>6</v>
      </c>
      <c r="C144">
        <v>6812.61</v>
      </c>
      <c r="D144">
        <v>7130.58439</v>
      </c>
      <c r="E144" s="2">
        <v>3.3410785266425727E-2</v>
      </c>
      <c r="F144" s="1">
        <v>46555</v>
      </c>
      <c r="G144">
        <v>10218.915000000001</v>
      </c>
      <c r="H144">
        <v>0.13631199999999999</v>
      </c>
      <c r="J144" s="3">
        <f t="shared" si="2"/>
        <v>1.5561643835616439</v>
      </c>
      <c r="K144" s="3">
        <f>(LN(D144/G144)+H144^2*J144/2)/(H144*SQRT(J144))</f>
        <v>-2.0311760390759446</v>
      </c>
      <c r="L144" s="3">
        <f>K144-H144*SQRT(J144)</f>
        <v>-2.2012202399646208</v>
      </c>
      <c r="M144" s="3">
        <f>EXP(-E144*J144)*(D144*_xlfn.NORM.DIST(K144,0,1,TRUE)-G144*_xlfn.NORM.DIST(L144,0,1,TRUE))</f>
        <v>8.4978426417841142</v>
      </c>
      <c r="N144" s="3">
        <f>EXP(-E144*J144)*(G144*_xlfn.NORM.DIST(-L144,0,1,TRUE)-D144*_xlfn.NORM.DIST(-K144,0,1,TRUE))</f>
        <v>2940.3607196467237</v>
      </c>
      <c r="O144" s="3" t="b">
        <f>(M144-N144)=EXP(-E144*J144)*(D144-G144)</f>
        <v>1</v>
      </c>
    </row>
    <row r="145" spans="1:15" x14ac:dyDescent="0.3">
      <c r="A145" s="1">
        <v>45987</v>
      </c>
      <c r="B145" t="s">
        <v>6</v>
      </c>
      <c r="C145">
        <v>6812.61</v>
      </c>
      <c r="D145">
        <v>7224.0626000000002</v>
      </c>
      <c r="E145" s="2">
        <v>3.2648218448010156E-2</v>
      </c>
      <c r="F145" s="1">
        <v>46738</v>
      </c>
      <c r="G145">
        <v>3406.3049999999998</v>
      </c>
      <c r="H145">
        <v>0.33691700000000002</v>
      </c>
      <c r="J145" s="3">
        <f t="shared" si="2"/>
        <v>2.0575342465753423</v>
      </c>
      <c r="K145" s="3">
        <f>(LN(D145/G145)+H145^2*J145/2)/(H145*SQRT(J145))</f>
        <v>1.7972450497442145</v>
      </c>
      <c r="L145" s="3">
        <f>K145-H145*SQRT(J145)</f>
        <v>1.3139676775832094</v>
      </c>
      <c r="M145" s="3">
        <f>EXP(-E145*J145)*(D145*_xlfn.NORM.DIST(K145,0,1,TRUE)-G145*_xlfn.NORM.DIST(L145,0,1,TRUE))</f>
        <v>3626.307306875402</v>
      </c>
      <c r="N145" s="3">
        <f>EXP(-E145*J145)*(G145*_xlfn.NORM.DIST(-L145,0,1,TRUE)-D145*_xlfn.NORM.DIST(-K145,0,1,TRUE))</f>
        <v>56.582860211825412</v>
      </c>
      <c r="O145" s="3" t="b">
        <f>(M145-N145)=EXP(-E145*J145)*(D145-G145)</f>
        <v>1</v>
      </c>
    </row>
    <row r="146" spans="1:15" x14ac:dyDescent="0.3">
      <c r="A146" s="1">
        <v>45987</v>
      </c>
      <c r="B146" t="s">
        <v>6</v>
      </c>
      <c r="C146">
        <v>6812.61</v>
      </c>
      <c r="D146">
        <v>7224.0626000000002</v>
      </c>
      <c r="E146" s="2">
        <v>3.2648218448010156E-2</v>
      </c>
      <c r="F146" s="1">
        <v>46738</v>
      </c>
      <c r="G146">
        <v>4087.5659999999998</v>
      </c>
      <c r="H146">
        <v>0.300875</v>
      </c>
      <c r="J146" s="3">
        <f t="shared" si="2"/>
        <v>2.0575342465753423</v>
      </c>
      <c r="K146" s="3">
        <f>(LN(D146/G146)+H146^2*J146/2)/(H146*SQRT(J146))</f>
        <v>1.5352895867818837</v>
      </c>
      <c r="L146" s="3">
        <f>K146-H146*SQRT(J146)</f>
        <v>1.1037112474610944</v>
      </c>
      <c r="M146" s="3">
        <f>EXP(-E146*J146)*(D146*_xlfn.NORM.DIST(K146,0,1,TRUE)-G146*_xlfn.NORM.DIST(L146,0,1,TRUE))</f>
        <v>3026.9560161537574</v>
      </c>
      <c r="N146" s="3">
        <f>EXP(-E146*J146)*(G146*_xlfn.NORM.DIST(-L146,0,1,TRUE)-D146*_xlfn.NORM.DIST(-K146,0,1,TRUE))</f>
        <v>94.23221255313257</v>
      </c>
      <c r="O146" s="3" t="b">
        <f>(M146-N146)=EXP(-E146*J146)*(D146-G146)</f>
        <v>1</v>
      </c>
    </row>
    <row r="147" spans="1:15" x14ac:dyDescent="0.3">
      <c r="A147" s="1">
        <v>45987</v>
      </c>
      <c r="B147" t="s">
        <v>6</v>
      </c>
      <c r="C147">
        <v>6812.61</v>
      </c>
      <c r="D147">
        <v>7224.0626000000002</v>
      </c>
      <c r="E147" s="2">
        <v>3.2648218448010156E-2</v>
      </c>
      <c r="F147" s="1">
        <v>46738</v>
      </c>
      <c r="G147">
        <v>4768.8269999999993</v>
      </c>
      <c r="H147">
        <v>0.27079199999999998</v>
      </c>
      <c r="J147" s="3">
        <f t="shared" si="2"/>
        <v>2.0575342465753423</v>
      </c>
      <c r="K147" s="3">
        <f>(LN(D147/G147)+H147^2*J147/2)/(H147*SQRT(J147))</f>
        <v>1.2634418330463622</v>
      </c>
      <c r="L147" s="3">
        <f>K147-H147*SQRT(J147)</f>
        <v>0.87501487280920331</v>
      </c>
      <c r="M147" s="3">
        <f>EXP(-E147*J147)*(D147*_xlfn.NORM.DIST(K147,0,1,TRUE)-G147*_xlfn.NORM.DIST(L147,0,1,TRUE))</f>
        <v>2449.2343045276348</v>
      </c>
      <c r="N147" s="3">
        <f>EXP(-E147*J147)*(G147*_xlfn.NORM.DIST(-L147,0,1,TRUE)-D147*_xlfn.NORM.DIST(-K147,0,1,TRUE))</f>
        <v>153.51114398996262</v>
      </c>
      <c r="O147" s="3" t="b">
        <f>(M147-N147)=EXP(-E147*J147)*(D147-G147)</f>
        <v>1</v>
      </c>
    </row>
    <row r="148" spans="1:15" x14ac:dyDescent="0.3">
      <c r="A148" s="1">
        <v>45987</v>
      </c>
      <c r="B148" t="s">
        <v>6</v>
      </c>
      <c r="C148">
        <v>6812.61</v>
      </c>
      <c r="D148">
        <v>7224.0626000000002</v>
      </c>
      <c r="E148" s="2">
        <v>3.2648218448010156E-2</v>
      </c>
      <c r="F148" s="1">
        <v>46738</v>
      </c>
      <c r="G148">
        <v>5450.0879999999997</v>
      </c>
      <c r="H148">
        <v>0.24467099999999997</v>
      </c>
      <c r="J148" s="3">
        <f t="shared" si="2"/>
        <v>2.0575342465753423</v>
      </c>
      <c r="K148" s="3">
        <f>(LN(D148/G148)+H148^2*J148/2)/(H148*SQRT(J148))</f>
        <v>0.97838212996031282</v>
      </c>
      <c r="L148" s="3">
        <f>K148-H148*SQRT(J148)</f>
        <v>0.6274234133505685</v>
      </c>
      <c r="M148" s="3">
        <f>EXP(-E148*J148)*(D148*_xlfn.NORM.DIST(K148,0,1,TRUE)-G148*_xlfn.NORM.DIST(L148,0,1,TRUE))</f>
        <v>1902.7483490530965</v>
      </c>
      <c r="N148" s="3">
        <f>EXP(-E148*J148)*(G148*_xlfn.NORM.DIST(-L148,0,1,TRUE)-D148*_xlfn.NORM.DIST(-K148,0,1,TRUE))</f>
        <v>244.02583157837739</v>
      </c>
      <c r="O148" s="3" t="b">
        <f>(M148-N148)=EXP(-E148*J148)*(D148-G148)</f>
        <v>1</v>
      </c>
    </row>
    <row r="149" spans="1:15" x14ac:dyDescent="0.3">
      <c r="A149" s="1">
        <v>45987</v>
      </c>
      <c r="B149" t="s">
        <v>6</v>
      </c>
      <c r="C149">
        <v>6812.61</v>
      </c>
      <c r="D149">
        <v>7224.0626000000002</v>
      </c>
      <c r="E149" s="2">
        <v>3.2648218448010156E-2</v>
      </c>
      <c r="F149" s="1">
        <v>46738</v>
      </c>
      <c r="G149">
        <v>6131.3490000000002</v>
      </c>
      <c r="H149">
        <v>0.21992700000000004</v>
      </c>
      <c r="J149" s="3">
        <f t="shared" si="2"/>
        <v>2.0575342465753423</v>
      </c>
      <c r="K149" s="3">
        <f>(LN(D149/G149)+H149^2*J149/2)/(H149*SQRT(J149))</f>
        <v>0.67760777256825755</v>
      </c>
      <c r="L149" s="3">
        <f>K149-H149*SQRT(J149)</f>
        <v>0.36214211596068546</v>
      </c>
      <c r="M149" s="3">
        <f>EXP(-E149*J149)*(D149*_xlfn.NORM.DIST(K149,0,1,TRUE)-G149*_xlfn.NORM.DIST(L149,0,1,TRUE))</f>
        <v>1395.7129867839928</v>
      </c>
      <c r="N149" s="3">
        <f>EXP(-E149*J149)*(G149*_xlfn.NORM.DIST(-L149,0,1,TRUE)-D149*_xlfn.NORM.DIST(-K149,0,1,TRUE))</f>
        <v>373.99111237222701</v>
      </c>
      <c r="O149" s="3" t="b">
        <f>(M149-N149)=EXP(-E149*J149)*(D149-G149)</f>
        <v>1</v>
      </c>
    </row>
    <row r="150" spans="1:15" x14ac:dyDescent="0.3">
      <c r="A150" s="1">
        <v>45987</v>
      </c>
      <c r="B150" t="s">
        <v>6</v>
      </c>
      <c r="C150">
        <v>6812.61</v>
      </c>
      <c r="D150">
        <v>7224.0626000000002</v>
      </c>
      <c r="E150" s="2">
        <v>3.2648218448010156E-2</v>
      </c>
      <c r="F150" s="1">
        <v>46738</v>
      </c>
      <c r="G150">
        <v>6471.9794999999995</v>
      </c>
      <c r="H150">
        <v>0.20754600000000001</v>
      </c>
      <c r="J150" s="3">
        <f t="shared" si="2"/>
        <v>2.0575342465753423</v>
      </c>
      <c r="K150" s="3">
        <f>(LN(D150/G150)+H150^2*J150/2)/(H150*SQRT(J150))</f>
        <v>0.51812812903431871</v>
      </c>
      <c r="L150" s="3">
        <f>K150-H150*SQRT(J150)</f>
        <v>0.22042191212472984</v>
      </c>
      <c r="M150" s="3">
        <f>EXP(-E150*J150)*(D150*_xlfn.NORM.DIST(K150,0,1,TRUE)-G150*_xlfn.NORM.DIST(L150,0,1,TRUE))</f>
        <v>1159.9359600993314</v>
      </c>
      <c r="N150" s="3">
        <f>EXP(-E150*J150)*(G150*_xlfn.NORM.DIST(-L150,0,1,TRUE)-D150*_xlfn.NORM.DIST(-K150,0,1,TRUE))</f>
        <v>456.71440721904105</v>
      </c>
      <c r="O150" s="3" t="b">
        <f>(M150-N150)=EXP(-E150*J150)*(D150-G150)</f>
        <v>1</v>
      </c>
    </row>
    <row r="151" spans="1:15" x14ac:dyDescent="0.3">
      <c r="A151" s="1">
        <v>45987</v>
      </c>
      <c r="B151" t="s">
        <v>6</v>
      </c>
      <c r="C151">
        <v>6812.61</v>
      </c>
      <c r="D151">
        <v>7224.0626000000002</v>
      </c>
      <c r="E151" s="2">
        <v>3.2648218448010156E-2</v>
      </c>
      <c r="F151" s="1">
        <v>46738</v>
      </c>
      <c r="G151">
        <v>6812.61</v>
      </c>
      <c r="H151">
        <v>0.19504299999999999</v>
      </c>
      <c r="J151" s="3">
        <f t="shared" si="2"/>
        <v>2.0575342465753423</v>
      </c>
      <c r="K151" s="3">
        <f>(LN(D151/G151)+H151^2*J151/2)/(H151*SQRT(J151))</f>
        <v>0.34949307429596771</v>
      </c>
      <c r="L151" s="3">
        <f>K151-H151*SQRT(J151)</f>
        <v>6.9721295197854805E-2</v>
      </c>
      <c r="M151" s="3">
        <f>EXP(-E151*J151)*(D151*_xlfn.NORM.DIST(K151,0,1,TRUE)-G151*_xlfn.NORM.DIST(L151,0,1,TRUE))</f>
        <v>938.29257186212305</v>
      </c>
      <c r="N151" s="3">
        <f>EXP(-E151*J151)*(G151*_xlfn.NORM.DIST(-L151,0,1,TRUE)-D151*_xlfn.NORM.DIST(-K151,0,1,TRUE))</f>
        <v>553.57134051330934</v>
      </c>
      <c r="O151" s="3" t="b">
        <f>(M151-N151)=EXP(-E151*J151)*(D151-G151)</f>
        <v>1</v>
      </c>
    </row>
    <row r="152" spans="1:15" x14ac:dyDescent="0.3">
      <c r="A152" s="1">
        <v>45987</v>
      </c>
      <c r="B152" t="s">
        <v>6</v>
      </c>
      <c r="C152">
        <v>6812.61</v>
      </c>
      <c r="D152">
        <v>7224.0626000000002</v>
      </c>
      <c r="E152" s="2">
        <v>3.2648218448010156E-2</v>
      </c>
      <c r="F152" s="1">
        <v>46738</v>
      </c>
      <c r="G152">
        <v>7153.240499999999</v>
      </c>
      <c r="H152">
        <v>0.18284300000000001</v>
      </c>
      <c r="J152" s="3">
        <f t="shared" si="2"/>
        <v>2.0575342465753423</v>
      </c>
      <c r="K152" s="3">
        <f>(LN(D152/G152)+H152^2*J152/2)/(H152*SQRT(J152))</f>
        <v>0.16870008538141995</v>
      </c>
      <c r="L152" s="3">
        <f>K152-H152*SQRT(J152)</f>
        <v>-9.3571882367416259E-2</v>
      </c>
      <c r="M152" s="3">
        <f>EXP(-E152*J152)*(D152*_xlfn.NORM.DIST(K152,0,1,TRUE)-G152*_xlfn.NORM.DIST(L152,0,1,TRUE))</f>
        <v>734.88387965398942</v>
      </c>
      <c r="N152" s="3">
        <f>EXP(-E152*J152)*(G152*_xlfn.NORM.DIST(-L152,0,1,TRUE)-D152*_xlfn.NORM.DIST(-K152,0,1,TRUE))</f>
        <v>668.66296983665177</v>
      </c>
      <c r="O152" s="3" t="b">
        <f>(M152-N152)=EXP(-E152*J152)*(D152-G152)</f>
        <v>0</v>
      </c>
    </row>
    <row r="153" spans="1:15" x14ac:dyDescent="0.3">
      <c r="A153" s="1">
        <v>45987</v>
      </c>
      <c r="B153" t="s">
        <v>6</v>
      </c>
      <c r="C153">
        <v>6812.61</v>
      </c>
      <c r="D153">
        <v>7224.0626000000002</v>
      </c>
      <c r="E153" s="2">
        <v>3.2648218448010156E-2</v>
      </c>
      <c r="F153" s="1">
        <v>46738</v>
      </c>
      <c r="G153">
        <v>7493.8710000000001</v>
      </c>
      <c r="H153">
        <v>0.17119400000000001</v>
      </c>
      <c r="J153" s="3">
        <f t="shared" si="2"/>
        <v>2.0575342465753423</v>
      </c>
      <c r="K153" s="3">
        <f>(LN(D153/G153)+H153^2*J153/2)/(H153*SQRT(J153))</f>
        <v>-2.654122498354515E-2</v>
      </c>
      <c r="L153" s="3">
        <f>K153-H153*SQRT(J153)</f>
        <v>-0.27210374171535479</v>
      </c>
      <c r="M153" s="3">
        <f>EXP(-E153*J153)*(D153*_xlfn.NORM.DIST(K153,0,1,TRUE)-G153*_xlfn.NORM.DIST(L153,0,1,TRUE))</f>
        <v>553.70029493488073</v>
      </c>
      <c r="N153" s="3">
        <f>EXP(-E153*J153)*(G153*_xlfn.NORM.DIST(-L153,0,1,TRUE)-D153*_xlfn.NORM.DIST(-K153,0,1,TRUE))</f>
        <v>805.9797066490197</v>
      </c>
      <c r="O153" s="3" t="b">
        <f>(M153-N153)=EXP(-E153*J153)*(D153-G153)</f>
        <v>1</v>
      </c>
    </row>
    <row r="154" spans="1:15" x14ac:dyDescent="0.3">
      <c r="A154" s="1">
        <v>45987</v>
      </c>
      <c r="B154" t="s">
        <v>6</v>
      </c>
      <c r="C154">
        <v>6812.61</v>
      </c>
      <c r="D154">
        <v>7224.0626000000002</v>
      </c>
      <c r="E154" s="2">
        <v>3.2648218448010156E-2</v>
      </c>
      <c r="F154" s="1">
        <v>46738</v>
      </c>
      <c r="G154">
        <v>8175.1319999999996</v>
      </c>
      <c r="H154">
        <v>0.15169099999999999</v>
      </c>
      <c r="J154" s="3">
        <f t="shared" si="2"/>
        <v>2.0575342465753423</v>
      </c>
      <c r="K154" s="3">
        <f>(LN(D154/G154)+H154^2*J154/2)/(H154*SQRT(J154))</f>
        <v>-0.45961933696238355</v>
      </c>
      <c r="L154" s="3">
        <f>K154-H154*SQRT(J154)</f>
        <v>-0.67720654051837803</v>
      </c>
      <c r="M154" s="3">
        <f>EXP(-E154*J154)*(D154*_xlfn.NORM.DIST(K154,0,1,TRUE)-G154*_xlfn.NORM.DIST(L154,0,1,TRUE))</f>
        <v>276.65736073878082</v>
      </c>
      <c r="N154" s="3">
        <f>EXP(-E154*J154)*(G154*_xlfn.NORM.DIST(-L154,0,1,TRUE)-D154*_xlfn.NORM.DIST(-K154,0,1,TRUE))</f>
        <v>1165.9374155158723</v>
      </c>
      <c r="O154" s="3" t="b">
        <f>(M154-N154)=EXP(-E154*J154)*(D154-G154)</f>
        <v>0</v>
      </c>
    </row>
    <row r="155" spans="1:15" x14ac:dyDescent="0.3">
      <c r="A155" s="1">
        <v>45987</v>
      </c>
      <c r="B155" t="s">
        <v>6</v>
      </c>
      <c r="C155">
        <v>6812.61</v>
      </c>
      <c r="D155">
        <v>7224.0626000000002</v>
      </c>
      <c r="E155" s="2">
        <v>3.2648218448010156E-2</v>
      </c>
      <c r="F155" s="1">
        <v>46738</v>
      </c>
      <c r="G155">
        <v>8856.393</v>
      </c>
      <c r="H155">
        <v>0.13919699999999999</v>
      </c>
      <c r="J155" s="3">
        <f t="shared" si="2"/>
        <v>2.0575342465753423</v>
      </c>
      <c r="K155" s="3">
        <f>(LN(D155/G155)+H155^2*J155/2)/(H155*SQRT(J155))</f>
        <v>-0.92048319320808081</v>
      </c>
      <c r="L155" s="3">
        <f>K155-H155*SQRT(J155)</f>
        <v>-1.1201488686494963</v>
      </c>
      <c r="M155" s="3">
        <f>EXP(-E155*J155)*(D155*_xlfn.NORM.DIST(K155,0,1,TRUE)-G155*_xlfn.NORM.DIST(L155,0,1,TRUE))</f>
        <v>119.29591321435284</v>
      </c>
      <c r="N155" s="3">
        <f>EXP(-E155*J155)*(G155*_xlfn.NORM.DIST(-L155,0,1,TRUE)-D155*_xlfn.NORM.DIST(-K155,0,1,TRUE))</f>
        <v>1645.5766110543968</v>
      </c>
      <c r="O155" s="3" t="b">
        <f>(M155-N155)=EXP(-E155*J155)*(D155-G155)</f>
        <v>1</v>
      </c>
    </row>
    <row r="156" spans="1:15" x14ac:dyDescent="0.3">
      <c r="A156" s="1">
        <v>45987</v>
      </c>
      <c r="B156" t="s">
        <v>6</v>
      </c>
      <c r="C156">
        <v>6812.61</v>
      </c>
      <c r="D156">
        <v>7224.0626000000002</v>
      </c>
      <c r="E156" s="2">
        <v>3.2648218448010156E-2</v>
      </c>
      <c r="F156" s="1">
        <v>46738</v>
      </c>
      <c r="G156">
        <v>9537.6539999999986</v>
      </c>
      <c r="H156">
        <v>0.13377500000000001</v>
      </c>
      <c r="J156" s="3">
        <f t="shared" si="2"/>
        <v>2.0575342465753423</v>
      </c>
      <c r="K156" s="3">
        <f>(LN(D156/G156)+H156^2*J156/2)/(H156*SQRT(J156))</f>
        <v>-1.3519297496677953</v>
      </c>
      <c r="L156" s="3">
        <f>K156-H156*SQRT(J156)</f>
        <v>-1.5438180499341472</v>
      </c>
      <c r="M156" s="3">
        <f>EXP(-E156*J156)*(D156*_xlfn.NORM.DIST(K156,0,1,TRUE)-G156*_xlfn.NORM.DIST(L156,0,1,TRUE))</f>
        <v>48.94101317950421</v>
      </c>
      <c r="N156" s="3">
        <f>EXP(-E156*J156)*(G156*_xlfn.NORM.DIST(-L156,0,1,TRUE)-D156*_xlfn.NORM.DIST(-K156,0,1,TRUE))</f>
        <v>2212.2223540824998</v>
      </c>
      <c r="O156" s="3" t="b">
        <f>(M156-N156)=EXP(-E156*J156)*(D156-G156)</f>
        <v>1</v>
      </c>
    </row>
    <row r="157" spans="1:15" x14ac:dyDescent="0.3">
      <c r="A157" s="1">
        <v>45987</v>
      </c>
      <c r="B157" t="s">
        <v>6</v>
      </c>
      <c r="C157">
        <v>6812.61</v>
      </c>
      <c r="D157">
        <v>7224.0626000000002</v>
      </c>
      <c r="E157" s="2">
        <v>3.2648218448010156E-2</v>
      </c>
      <c r="F157" s="1">
        <v>46738</v>
      </c>
      <c r="G157">
        <v>10218.915000000001</v>
      </c>
      <c r="H157">
        <v>0.13342999999999999</v>
      </c>
      <c r="J157" s="3">
        <f t="shared" si="2"/>
        <v>2.0575342465753423</v>
      </c>
      <c r="K157" s="3">
        <f>(LN(D157/G157)+H157^2*J157/2)/(H157*SQRT(J157))</f>
        <v>-1.7163975448830036</v>
      </c>
      <c r="L157" s="3">
        <f>K157-H157*SQRT(J157)</f>
        <v>-1.9077909734349701</v>
      </c>
      <c r="M157" s="3">
        <f>EXP(-E157*J157)*(D157*_xlfn.NORM.DIST(K157,0,1,TRUE)-G157*_xlfn.NORM.DIST(L157,0,1,TRUE))</f>
        <v>21.216503383522387</v>
      </c>
      <c r="N157" s="3">
        <f>EXP(-E157*J157)*(G157*_xlfn.NORM.DIST(-L157,0,1,TRUE)-D157*_xlfn.NORM.DIST(-K157,0,1,TRUE))</f>
        <v>2821.4984873494736</v>
      </c>
      <c r="O157" s="3" t="b">
        <f>(M157-N157)=EXP(-E157*J157)*(D157-G157)</f>
        <v>1</v>
      </c>
    </row>
    <row r="158" spans="1:15" x14ac:dyDescent="0.3">
      <c r="A158" s="1">
        <v>45987</v>
      </c>
      <c r="B158" t="s">
        <v>6</v>
      </c>
      <c r="C158">
        <v>6812.61</v>
      </c>
      <c r="D158">
        <v>7329.2724900000003</v>
      </c>
      <c r="E158" s="2">
        <v>3.232201476235072E-2</v>
      </c>
      <c r="F158" s="1">
        <v>46920</v>
      </c>
      <c r="G158">
        <v>3406.3049999999998</v>
      </c>
      <c r="H158">
        <v>0.32827600000000001</v>
      </c>
      <c r="J158" s="3">
        <f t="shared" si="2"/>
        <v>2.5561643835616437</v>
      </c>
      <c r="K158" s="3">
        <f>(LN(D158/G158)+H158^2*J158/2)/(H158*SQRT(J158))</f>
        <v>1.7223670093951717</v>
      </c>
      <c r="L158" s="3">
        <f>K158-H158*SQRT(J158)</f>
        <v>1.1975190383996615</v>
      </c>
      <c r="M158" s="3">
        <f>EXP(-E158*J158)*(D158*_xlfn.NORM.DIST(K158,0,1,TRUE)-G158*_xlfn.NORM.DIST(L158,0,1,TRUE))</f>
        <v>3687.4685771198169</v>
      </c>
      <c r="N158" s="3">
        <f>EXP(-E158*J158)*(G158*_xlfn.NORM.DIST(-L158,0,1,TRUE)-D158*_xlfn.NORM.DIST(-K158,0,1,TRUE))</f>
        <v>75.590076714748733</v>
      </c>
      <c r="O158" s="3" t="b">
        <f>(M158-N158)=EXP(-E158*J158)*(D158-G158)</f>
        <v>1</v>
      </c>
    </row>
    <row r="159" spans="1:15" x14ac:dyDescent="0.3">
      <c r="A159" s="1">
        <v>45987</v>
      </c>
      <c r="B159" t="s">
        <v>6</v>
      </c>
      <c r="C159">
        <v>6812.61</v>
      </c>
      <c r="D159">
        <v>7329.2724900000003</v>
      </c>
      <c r="E159" s="2">
        <v>3.232201476235072E-2</v>
      </c>
      <c r="F159" s="1">
        <v>46920</v>
      </c>
      <c r="G159">
        <v>4087.5659999999998</v>
      </c>
      <c r="H159">
        <v>0.295265</v>
      </c>
      <c r="J159" s="3">
        <f t="shared" si="2"/>
        <v>2.5561643835616437</v>
      </c>
      <c r="K159" s="3">
        <f>(LN(D159/G159)+H159^2*J159/2)/(H159*SQRT(J159))</f>
        <v>1.4729842306284164</v>
      </c>
      <c r="L159" s="3">
        <f>K159-H159*SQRT(J159)</f>
        <v>1.0009142768212866</v>
      </c>
      <c r="M159" s="3">
        <f>EXP(-E159*J159)*(D159*_xlfn.NORM.DIST(K159,0,1,TRUE)-G159*_xlfn.NORM.DIST(L159,0,1,TRUE))</f>
        <v>3105.9830047924902</v>
      </c>
      <c r="N159" s="3">
        <f>EXP(-E159*J159)*(G159*_xlfn.NORM.DIST(-L159,0,1,TRUE)-D159*_xlfn.NORM.DIST(-K159,0,1,TRUE))</f>
        <v>121.34191212450683</v>
      </c>
      <c r="O159" s="3" t="b">
        <f>(M159-N159)=EXP(-E159*J159)*(D159-G159)</f>
        <v>1</v>
      </c>
    </row>
    <row r="160" spans="1:15" x14ac:dyDescent="0.3">
      <c r="A160" s="1">
        <v>45987</v>
      </c>
      <c r="B160" t="s">
        <v>6</v>
      </c>
      <c r="C160">
        <v>6812.61</v>
      </c>
      <c r="D160">
        <v>7329.2724900000003</v>
      </c>
      <c r="E160" s="2">
        <v>3.232201476235072E-2</v>
      </c>
      <c r="F160" s="1">
        <v>46920</v>
      </c>
      <c r="G160">
        <v>4768.8269999999993</v>
      </c>
      <c r="H160">
        <v>0.26624500000000001</v>
      </c>
      <c r="J160" s="3">
        <f t="shared" si="2"/>
        <v>2.5561643835616437</v>
      </c>
      <c r="K160" s="3">
        <f>(LN(D160/G160)+H160^2*J160/2)/(H160*SQRT(J160))</f>
        <v>1.2224755787539356</v>
      </c>
      <c r="L160" s="3">
        <f>K160-H160*SQRT(J160)</f>
        <v>0.79680282766125854</v>
      </c>
      <c r="M160" s="3">
        <f>EXP(-E160*J160)*(D160*_xlfn.NORM.DIST(K160,0,1,TRUE)-G160*_xlfn.NORM.DIST(L160,0,1,TRUE))</f>
        <v>2544.218734296403</v>
      </c>
      <c r="N160" s="3">
        <f>EXP(-E160*J160)*(G160*_xlfn.NORM.DIST(-L160,0,1,TRUE)-D160*_xlfn.NORM.DIST(-K160,0,1,TRUE))</f>
        <v>186.8150493655038</v>
      </c>
      <c r="O160" s="3" t="b">
        <f>(M160-N160)=EXP(-E160*J160)*(D160-G160)</f>
        <v>1</v>
      </c>
    </row>
    <row r="161" spans="1:15" x14ac:dyDescent="0.3">
      <c r="A161" s="1">
        <v>45987</v>
      </c>
      <c r="B161" t="s">
        <v>6</v>
      </c>
      <c r="C161">
        <v>6812.61</v>
      </c>
      <c r="D161">
        <v>7329.2724900000003</v>
      </c>
      <c r="E161" s="2">
        <v>3.232201476235072E-2</v>
      </c>
      <c r="F161" s="1">
        <v>46920</v>
      </c>
      <c r="G161">
        <v>5450.0879999999997</v>
      </c>
      <c r="H161">
        <v>0.240179</v>
      </c>
      <c r="J161" s="3">
        <f t="shared" si="2"/>
        <v>2.5561643835616437</v>
      </c>
      <c r="K161" s="3">
        <f>(LN(D161/G161)+H161^2*J161/2)/(H161*SQRT(J161))</f>
        <v>0.9634724690725105</v>
      </c>
      <c r="L161" s="3">
        <f>K161-H161*SQRT(J161)</f>
        <v>0.57947406277497215</v>
      </c>
      <c r="M161" s="3">
        <f>EXP(-E161*J161)*(D161*_xlfn.NORM.DIST(K161,0,1,TRUE)-G161*_xlfn.NORM.DIST(L161,0,1,TRUE))</f>
        <v>2009.5232109106437</v>
      </c>
      <c r="N161" s="3">
        <f>EXP(-E161*J161)*(G161*_xlfn.NORM.DIST(-L161,0,1,TRUE)-D161*_xlfn.NORM.DIST(-K161,0,1,TRUE))</f>
        <v>279.3569337168293</v>
      </c>
      <c r="O161" s="3" t="b">
        <f>(M161-N161)=EXP(-E161*J161)*(D161-G161)</f>
        <v>1</v>
      </c>
    </row>
    <row r="162" spans="1:15" x14ac:dyDescent="0.3">
      <c r="A162" s="1">
        <v>45987</v>
      </c>
      <c r="B162" t="s">
        <v>6</v>
      </c>
      <c r="C162">
        <v>6812.61</v>
      </c>
      <c r="D162">
        <v>7329.2724900000003</v>
      </c>
      <c r="E162" s="2">
        <v>3.232201476235072E-2</v>
      </c>
      <c r="F162" s="1">
        <v>46920</v>
      </c>
      <c r="G162">
        <v>6131.3490000000002</v>
      </c>
      <c r="H162">
        <v>0.21645199999999998</v>
      </c>
      <c r="J162" s="3">
        <f t="shared" si="2"/>
        <v>2.5561643835616437</v>
      </c>
      <c r="K162" s="3">
        <f>(LN(D162/G162)+H162^2*J162/2)/(H162*SQRT(J162))</f>
        <v>0.68872154453677836</v>
      </c>
      <c r="L162" s="3">
        <f>K162-H162*SQRT(J162)</f>
        <v>0.34265788768120503</v>
      </c>
      <c r="M162" s="3">
        <f>EXP(-E162*J162)*(D162*_xlfn.NORM.DIST(K162,0,1,TRUE)-G162*_xlfn.NORM.DIST(L162,0,1,TRUE))</f>
        <v>1511.9969287322294</v>
      </c>
      <c r="N162" s="3">
        <f>EXP(-E162*J162)*(G162*_xlfn.NORM.DIST(-L162,0,1,TRUE)-D162*_xlfn.NORM.DIST(-K162,0,1,TRUE))</f>
        <v>409.06805927549965</v>
      </c>
      <c r="O162" s="3" t="b">
        <f>(M162-N162)=EXP(-E162*J162)*(D162-G162)</f>
        <v>1</v>
      </c>
    </row>
    <row r="163" spans="1:15" x14ac:dyDescent="0.3">
      <c r="A163" s="1">
        <v>45987</v>
      </c>
      <c r="B163" t="s">
        <v>6</v>
      </c>
      <c r="C163">
        <v>6812.61</v>
      </c>
      <c r="D163">
        <v>7329.2724900000003</v>
      </c>
      <c r="E163" s="2">
        <v>3.232201476235072E-2</v>
      </c>
      <c r="F163" s="1">
        <v>46920</v>
      </c>
      <c r="G163">
        <v>6471.9794999999995</v>
      </c>
      <c r="H163">
        <v>0.20536199999999996</v>
      </c>
      <c r="J163" s="3">
        <f t="shared" si="2"/>
        <v>2.5561643835616437</v>
      </c>
      <c r="K163" s="3">
        <f>(LN(D163/G163)+H163^2*J163/2)/(H163*SQRT(J163))</f>
        <v>0.54303264329526979</v>
      </c>
      <c r="L163" s="3">
        <f>K163-H163*SQRT(J163)</f>
        <v>0.21469968864863104</v>
      </c>
      <c r="M163" s="3">
        <f>EXP(-E163*J163)*(D163*_xlfn.NORM.DIST(K163,0,1,TRUE)-G163*_xlfn.NORM.DIST(L163,0,1,TRUE))</f>
        <v>1281.2786502448178</v>
      </c>
      <c r="N163" s="3">
        <f>EXP(-E163*J163)*(G163*_xlfn.NORM.DIST(-L163,0,1,TRUE)-D163*_xlfn.NORM.DIST(-K163,0,1,TRUE))</f>
        <v>491.96848465662981</v>
      </c>
      <c r="O163" s="3" t="b">
        <f>(M163-N163)=EXP(-E163*J163)*(D163-G163)</f>
        <v>1</v>
      </c>
    </row>
    <row r="164" spans="1:15" x14ac:dyDescent="0.3">
      <c r="A164" s="1">
        <v>45987</v>
      </c>
      <c r="B164" t="s">
        <v>6</v>
      </c>
      <c r="C164">
        <v>6812.61</v>
      </c>
      <c r="D164">
        <v>7329.2724900000003</v>
      </c>
      <c r="E164" s="2">
        <v>3.232201476235072E-2</v>
      </c>
      <c r="F164" s="1">
        <v>46920</v>
      </c>
      <c r="G164">
        <v>6812.61</v>
      </c>
      <c r="H164">
        <v>0.19477</v>
      </c>
      <c r="J164" s="3">
        <f t="shared" si="2"/>
        <v>2.5561643835616437</v>
      </c>
      <c r="K164" s="3">
        <f>(LN(D164/G164)+H164^2*J164/2)/(H164*SQRT(J164))</f>
        <v>0.39044976047311175</v>
      </c>
      <c r="L164" s="3">
        <f>K164-H164*SQRT(J164)</f>
        <v>7.9051305176972064E-2</v>
      </c>
      <c r="M164" s="3">
        <f>EXP(-E164*J164)*(D164*_xlfn.NORM.DIST(K164,0,1,TRUE)-G164*_xlfn.NORM.DIST(L164,0,1,TRUE))</f>
        <v>1065.2579429412872</v>
      </c>
      <c r="N164" s="3">
        <f>EXP(-E164*J164)*(G164*_xlfn.NORM.DIST(-L164,0,1,TRUE)-D164*_xlfn.NORM.DIST(-K164,0,1,TRUE))</f>
        <v>589.56648122164086</v>
      </c>
      <c r="O164" s="3" t="b">
        <f>(M164-N164)=EXP(-E164*J164)*(D164-G164)</f>
        <v>1</v>
      </c>
    </row>
    <row r="165" spans="1:15" x14ac:dyDescent="0.3">
      <c r="A165" s="1">
        <v>45987</v>
      </c>
      <c r="B165" t="s">
        <v>6</v>
      </c>
      <c r="C165">
        <v>6812.61</v>
      </c>
      <c r="D165">
        <v>7329.2724900000003</v>
      </c>
      <c r="E165" s="2">
        <v>3.232201476235072E-2</v>
      </c>
      <c r="F165" s="1">
        <v>46920</v>
      </c>
      <c r="G165">
        <v>7153.240499999999</v>
      </c>
      <c r="H165">
        <v>0.184692</v>
      </c>
      <c r="J165" s="3">
        <f t="shared" si="2"/>
        <v>2.5561643835616437</v>
      </c>
      <c r="K165" s="3">
        <f>(LN(D165/G165)+H165^2*J165/2)/(H165*SQRT(J165))</f>
        <v>0.22997257920754527</v>
      </c>
      <c r="L165" s="3">
        <f>K165-H165*SQRT(J165)</f>
        <v>-6.5313160411259619E-2</v>
      </c>
      <c r="M165" s="3">
        <f>EXP(-E165*J165)*(D165*_xlfn.NORM.DIST(K165,0,1,TRUE)-G165*_xlfn.NORM.DIST(L165,0,1,TRUE))</f>
        <v>866.21270919132485</v>
      </c>
      <c r="N165" s="3">
        <f>EXP(-E165*J165)*(G165*_xlfn.NORM.DIST(-L165,0,1,TRUE)-D165*_xlfn.NORM.DIST(-K165,0,1,TRUE))</f>
        <v>704.13995134022093</v>
      </c>
      <c r="O165" s="3" t="b">
        <f>(M165-N165)=EXP(-E165*J165)*(D165-G165)</f>
        <v>1</v>
      </c>
    </row>
    <row r="166" spans="1:15" x14ac:dyDescent="0.3">
      <c r="A166" s="1">
        <v>45987</v>
      </c>
      <c r="B166" t="s">
        <v>6</v>
      </c>
      <c r="C166">
        <v>6812.61</v>
      </c>
      <c r="D166">
        <v>7329.2724900000003</v>
      </c>
      <c r="E166" s="2">
        <v>3.232201476235072E-2</v>
      </c>
      <c r="F166" s="1">
        <v>46920</v>
      </c>
      <c r="G166">
        <v>7493.8710000000001</v>
      </c>
      <c r="H166">
        <v>0.17517099999999999</v>
      </c>
      <c r="J166" s="3">
        <f t="shared" si="2"/>
        <v>2.5561643835616437</v>
      </c>
      <c r="K166" s="3">
        <f>(LN(D166/G166)+H166^2*J166/2)/(H166*SQRT(J166))</f>
        <v>6.0731112079835413E-2</v>
      </c>
      <c r="L166" s="3">
        <f>K166-H166*SQRT(J166)</f>
        <v>-0.21933244397438281</v>
      </c>
      <c r="M166" s="3">
        <f>EXP(-E166*J166)*(D166*_xlfn.NORM.DIST(K166,0,1,TRUE)-G166*_xlfn.NORM.DIST(L166,0,1,TRUE))</f>
        <v>686.53713201121002</v>
      </c>
      <c r="N166" s="3">
        <f>EXP(-E166*J166)*(G166*_xlfn.NORM.DIST(-L166,0,1,TRUE)-D166*_xlfn.NORM.DIST(-K166,0,1,TRUE))</f>
        <v>838.08307802864931</v>
      </c>
      <c r="O166" s="3" t="b">
        <f>(M166-N166)=EXP(-E166*J166)*(D166-G166)</f>
        <v>1</v>
      </c>
    </row>
    <row r="167" spans="1:15" x14ac:dyDescent="0.3">
      <c r="A167" s="1">
        <v>45987</v>
      </c>
      <c r="B167" t="s">
        <v>6</v>
      </c>
      <c r="C167">
        <v>6812.61</v>
      </c>
      <c r="D167">
        <v>7329.2724900000003</v>
      </c>
      <c r="E167" s="2">
        <v>3.232201476235072E-2</v>
      </c>
      <c r="F167" s="1">
        <v>46920</v>
      </c>
      <c r="G167">
        <v>8175.1319999999996</v>
      </c>
      <c r="H167">
        <v>0.15814600000000001</v>
      </c>
      <c r="J167" s="3">
        <f t="shared" si="2"/>
        <v>2.5561643835616437</v>
      </c>
      <c r="K167" s="3">
        <f>(LN(D167/G167)+H167^2*J167/2)/(H167*SQRT(J167))</f>
        <v>-0.30554640751929579</v>
      </c>
      <c r="L167" s="3">
        <f>K167-H167*SQRT(J167)</f>
        <v>-0.55839037790109636</v>
      </c>
      <c r="M167" s="3">
        <f>EXP(-E167*J167)*(D167*_xlfn.NORM.DIST(K167,0,1,TRUE)-G167*_xlfn.NORM.DIST(L167,0,1,TRUE))</f>
        <v>394.1891610618988</v>
      </c>
      <c r="N167" s="3">
        <f>EXP(-E167*J167)*(G167*_xlfn.NORM.DIST(-L167,0,1,TRUE)-D167*_xlfn.NORM.DIST(-K167,0,1,TRUE))</f>
        <v>1172.9725148164216</v>
      </c>
      <c r="O167" s="3" t="b">
        <f>(M167-N167)=EXP(-E167*J167)*(D167-G167)</f>
        <v>1</v>
      </c>
    </row>
    <row r="168" spans="1:15" x14ac:dyDescent="0.3">
      <c r="A168" s="1">
        <v>45987</v>
      </c>
      <c r="B168" t="s">
        <v>6</v>
      </c>
      <c r="C168">
        <v>6812.61</v>
      </c>
      <c r="D168">
        <v>7329.2724900000003</v>
      </c>
      <c r="E168" s="2">
        <v>3.232201476235072E-2</v>
      </c>
      <c r="F168" s="1">
        <v>46920</v>
      </c>
      <c r="G168">
        <v>8856.393</v>
      </c>
      <c r="H168">
        <v>0.14471300000000001</v>
      </c>
      <c r="J168" s="3">
        <f t="shared" si="2"/>
        <v>2.5561643835616437</v>
      </c>
      <c r="K168" s="3">
        <f>(LN(D168/G168)+H168^2*J168/2)/(H168*SQRT(J168))</f>
        <v>-0.70233744488188143</v>
      </c>
      <c r="L168" s="3">
        <f>K168-H168*SQRT(J168)</f>
        <v>-0.93370472249789138</v>
      </c>
      <c r="M168" s="3">
        <f>EXP(-E168*J168)*(D168*_xlfn.NORM.DIST(K168,0,1,TRUE)-G168*_xlfn.NORM.DIST(L168,0,1,TRUE))</f>
        <v>199.04019632050728</v>
      </c>
      <c r="N168" s="3">
        <f>EXP(-E168*J168)*(G168*_xlfn.NORM.DIST(-L168,0,1,TRUE)-D168*_xlfn.NORM.DIST(-K168,0,1,TRUE))</f>
        <v>1605.0609578121146</v>
      </c>
      <c r="O168" s="3" t="b">
        <f>(M168-N168)=EXP(-E168*J168)*(D168-G168)</f>
        <v>1</v>
      </c>
    </row>
    <row r="169" spans="1:15" x14ac:dyDescent="0.3">
      <c r="A169" s="1">
        <v>45987</v>
      </c>
      <c r="B169" t="s">
        <v>6</v>
      </c>
      <c r="C169">
        <v>6812.61</v>
      </c>
      <c r="D169">
        <v>7329.2724900000003</v>
      </c>
      <c r="E169" s="2">
        <v>3.232201476235072E-2</v>
      </c>
      <c r="F169" s="1">
        <v>46920</v>
      </c>
      <c r="G169">
        <v>9537.6539999999986</v>
      </c>
      <c r="H169">
        <v>0.13597600000000001</v>
      </c>
      <c r="J169" s="3">
        <f t="shared" si="2"/>
        <v>2.5561643835616437</v>
      </c>
      <c r="K169" s="3">
        <f>(LN(D169/G169)+H169^2*J169/2)/(H169*SQRT(J169))</f>
        <v>-1.1027682259301832</v>
      </c>
      <c r="L169" s="3">
        <f>K169-H169*SQRT(J169)</f>
        <v>-1.3201667799033201</v>
      </c>
      <c r="M169" s="3">
        <f>EXP(-E169*J169)*(D169*_xlfn.NORM.DIST(K169,0,1,TRUE)-G169*_xlfn.NORM.DIST(L169,0,1,TRUE))</f>
        <v>91.335223787931511</v>
      </c>
      <c r="N169" s="3">
        <f>EXP(-E169*J169)*(G169*_xlfn.NORM.DIST(-L169,0,1,TRUE)-D169*_xlfn.NORM.DIST(-K169,0,1,TRUE))</f>
        <v>2124.5933930166234</v>
      </c>
      <c r="O169" s="3" t="b">
        <f>(M169-N169)=EXP(-E169*J169)*(D169-G169)</f>
        <v>1</v>
      </c>
    </row>
    <row r="170" spans="1:15" x14ac:dyDescent="0.3">
      <c r="A170" s="1">
        <v>45987</v>
      </c>
      <c r="B170" t="s">
        <v>6</v>
      </c>
      <c r="C170">
        <v>6812.61</v>
      </c>
      <c r="D170">
        <v>7329.2724900000003</v>
      </c>
      <c r="E170" s="2">
        <v>3.232201476235072E-2</v>
      </c>
      <c r="F170" s="1">
        <v>46920</v>
      </c>
      <c r="G170">
        <v>10218.915000000001</v>
      </c>
      <c r="H170">
        <v>0.13204199999999999</v>
      </c>
      <c r="J170" s="3">
        <f t="shared" si="2"/>
        <v>2.5561643835616437</v>
      </c>
      <c r="K170" s="3">
        <f>(LN(D170/G170)+H170^2*J170/2)/(H170*SQRT(J170))</f>
        <v>-1.4688187918178039</v>
      </c>
      <c r="L170" s="3">
        <f>K170-H170*SQRT(J170)</f>
        <v>-1.6799276629694848</v>
      </c>
      <c r="M170" s="3">
        <f>EXP(-E170*J170)*(D170*_xlfn.NORM.DIST(K170,0,1,TRUE)-G170*_xlfn.NORM.DIST(L170,0,1,TRUE))</f>
        <v>41.350827852565658</v>
      </c>
      <c r="N170" s="3">
        <f>EXP(-E170*J170)*(G170*_xlfn.NORM.DIST(-L170,0,1,TRUE)-D170*_xlfn.NORM.DIST(-K170,0,1,TRUE))</f>
        <v>2701.8464048183432</v>
      </c>
      <c r="O170" s="3" t="b">
        <f>(M170-N170)=EXP(-E170*J170)*(D170-G170)</f>
        <v>1</v>
      </c>
    </row>
    <row r="171" spans="1:15" x14ac:dyDescent="0.3">
      <c r="A171" s="1">
        <v>45987</v>
      </c>
      <c r="B171" t="s">
        <v>6</v>
      </c>
      <c r="C171">
        <v>6812.61</v>
      </c>
      <c r="D171">
        <v>7438.7479199999998</v>
      </c>
      <c r="E171" s="2">
        <v>3.2228440621681557E-2</v>
      </c>
      <c r="F171" s="1">
        <v>47102</v>
      </c>
      <c r="G171">
        <v>3406.3049999999998</v>
      </c>
      <c r="H171">
        <v>0.31257400000000002</v>
      </c>
      <c r="J171" s="3">
        <f t="shared" si="2"/>
        <v>3.0547945205479454</v>
      </c>
      <c r="K171" s="3">
        <f>(LN(D171/G171)+H171^2*J171/2)/(H171*SQRT(J171))</f>
        <v>1.7028699564961693</v>
      </c>
      <c r="L171" s="3">
        <f>K171-H171*SQRT(J171)</f>
        <v>1.1565540420548175</v>
      </c>
      <c r="M171" s="3">
        <f>EXP(-E171*J171)*(D171*_xlfn.NORM.DIST(K171,0,1,TRUE)-G171*_xlfn.NORM.DIST(L171,0,1,TRUE))</f>
        <v>3737.6843983308509</v>
      </c>
      <c r="N171" s="3">
        <f>EXP(-E171*J171)*(G171*_xlfn.NORM.DIST(-L171,0,1,TRUE)-D171*_xlfn.NORM.DIST(-K171,0,1,TRUE))</f>
        <v>83.323898271433862</v>
      </c>
      <c r="O171" s="3" t="b">
        <f>(M171-N171)=EXP(-E171*J171)*(D171-G171)</f>
        <v>1</v>
      </c>
    </row>
    <row r="172" spans="1:15" x14ac:dyDescent="0.3">
      <c r="A172" s="1">
        <v>45987</v>
      </c>
      <c r="B172" t="s">
        <v>6</v>
      </c>
      <c r="C172">
        <v>6812.61</v>
      </c>
      <c r="D172">
        <v>7438.7479199999998</v>
      </c>
      <c r="E172" s="2">
        <v>3.2228440621681557E-2</v>
      </c>
      <c r="F172" s="1">
        <v>47102</v>
      </c>
      <c r="G172">
        <v>4087.5659999999998</v>
      </c>
      <c r="H172">
        <v>0.28346300000000002</v>
      </c>
      <c r="J172" s="3">
        <f t="shared" si="2"/>
        <v>3.0547945205479454</v>
      </c>
      <c r="K172" s="3">
        <f>(LN(D172/G172)+H172^2*J172/2)/(H172*SQRT(J172))</f>
        <v>1.4562556493610996</v>
      </c>
      <c r="L172" s="3">
        <f>K172-H172*SQRT(J172)</f>
        <v>0.96081985478033183</v>
      </c>
      <c r="M172" s="3">
        <f>EXP(-E172*J172)*(D172*_xlfn.NORM.DIST(K172,0,1,TRUE)-G172*_xlfn.NORM.DIST(L172,0,1,TRUE))</f>
        <v>3170.6613374156036</v>
      </c>
      <c r="N172" s="3">
        <f>EXP(-E172*J172)*(G172*_xlfn.NORM.DIST(-L172,0,1,TRUE)-D172*_xlfn.NORM.DIST(-K172,0,1,TRUE))</f>
        <v>133.68670939997037</v>
      </c>
      <c r="O172" s="3" t="b">
        <f>(M172-N172)=EXP(-E172*J172)*(D172-G172)</f>
        <v>1</v>
      </c>
    </row>
    <row r="173" spans="1:15" x14ac:dyDescent="0.3">
      <c r="A173" s="1">
        <v>45987</v>
      </c>
      <c r="B173" t="s">
        <v>6</v>
      </c>
      <c r="C173">
        <v>6812.61</v>
      </c>
      <c r="D173">
        <v>7438.7479199999998</v>
      </c>
      <c r="E173" s="2">
        <v>3.2228440621681557E-2</v>
      </c>
      <c r="F173" s="1">
        <v>47102</v>
      </c>
      <c r="G173">
        <v>4768.8269999999993</v>
      </c>
      <c r="H173">
        <v>0.257884</v>
      </c>
      <c r="J173" s="3">
        <f t="shared" si="2"/>
        <v>3.0547945205479454</v>
      </c>
      <c r="K173" s="3">
        <f>(LN(D173/G173)+H173^2*J173/2)/(H173*SQRT(J173))</f>
        <v>1.2117715481431126</v>
      </c>
      <c r="L173" s="3">
        <f>K173-H173*SQRT(J173)</f>
        <v>0.76104265424984718</v>
      </c>
      <c r="M173" s="3">
        <f>EXP(-E173*J173)*(D173*_xlfn.NORM.DIST(K173,0,1,TRUE)-G173*_xlfn.NORM.DIST(L173,0,1,TRUE))</f>
        <v>2624.2759106342151</v>
      </c>
      <c r="N173" s="3">
        <f>EXP(-E173*J173)*(G173*_xlfn.NORM.DIST(-L173,0,1,TRUE)-D173*_xlfn.NORM.DIST(-K173,0,1,TRUE))</f>
        <v>204.687154662365</v>
      </c>
      <c r="O173" s="3" t="b">
        <f>(M173-N173)=EXP(-E173*J173)*(D173-G173)</f>
        <v>1</v>
      </c>
    </row>
    <row r="174" spans="1:15" x14ac:dyDescent="0.3">
      <c r="A174" s="1">
        <v>45987</v>
      </c>
      <c r="B174" t="s">
        <v>6</v>
      </c>
      <c r="C174">
        <v>6812.61</v>
      </c>
      <c r="D174">
        <v>7438.7479199999998</v>
      </c>
      <c r="E174" s="2">
        <v>3.2228440621681557E-2</v>
      </c>
      <c r="F174" s="1">
        <v>47102</v>
      </c>
      <c r="G174">
        <v>5450.0879999999997</v>
      </c>
      <c r="H174">
        <v>0.23758599999999996</v>
      </c>
      <c r="J174" s="3">
        <f t="shared" si="2"/>
        <v>3.0547945205479454</v>
      </c>
      <c r="K174" s="3">
        <f>(LN(D174/G174)+H174^2*J174/2)/(H174*SQRT(J174))</f>
        <v>0.95673914040416375</v>
      </c>
      <c r="L174" s="3">
        <f>K174-H174*SQRT(J174)</f>
        <v>0.54148703098859174</v>
      </c>
      <c r="M174" s="3">
        <f>EXP(-E174*J174)*(D174*_xlfn.NORM.DIST(K174,0,1,TRUE)-G174*_xlfn.NORM.DIST(L174,0,1,TRUE))</f>
        <v>2113.0851988225131</v>
      </c>
      <c r="N174" s="3">
        <f>EXP(-E174*J174)*(G174*_xlfn.NORM.DIST(-L174,0,1,TRUE)-D174*_xlfn.NORM.DIST(-K174,0,1,TRUE))</f>
        <v>310.88231489444496</v>
      </c>
      <c r="O174" s="3" t="b">
        <f>(M174-N174)=EXP(-E174*J174)*(D174-G174)</f>
        <v>1</v>
      </c>
    </row>
    <row r="175" spans="1:15" x14ac:dyDescent="0.3">
      <c r="A175" s="1">
        <v>45987</v>
      </c>
      <c r="B175" t="s">
        <v>6</v>
      </c>
      <c r="C175">
        <v>6812.61</v>
      </c>
      <c r="D175">
        <v>7438.7479199999998</v>
      </c>
      <c r="E175" s="2">
        <v>3.2228440621681557E-2</v>
      </c>
      <c r="F175" s="1">
        <v>47102</v>
      </c>
      <c r="G175">
        <v>6131.3490000000002</v>
      </c>
      <c r="H175">
        <v>0.21753499999999998</v>
      </c>
      <c r="J175" s="3">
        <f t="shared" si="2"/>
        <v>3.0547945205479454</v>
      </c>
      <c r="K175" s="3">
        <f>(LN(D175/G175)+H175^2*J175/2)/(H175*SQRT(J175))</f>
        <v>0.69847852614184702</v>
      </c>
      <c r="L175" s="3">
        <f>K175-H175*SQRT(J175)</f>
        <v>0.31827149533314431</v>
      </c>
      <c r="M175" s="3">
        <f>EXP(-E175*J175)*(D175*_xlfn.NORM.DIST(K175,0,1,TRUE)-G175*_xlfn.NORM.DIST(L175,0,1,TRUE))</f>
        <v>1634.9179563580635</v>
      </c>
      <c r="N175" s="3">
        <f>EXP(-E175*J175)*(G175*_xlfn.NORM.DIST(-L175,0,1,TRUE)-D175*_xlfn.NORM.DIST(-K175,0,1,TRUE))</f>
        <v>450.10094447377912</v>
      </c>
      <c r="O175" s="3" t="b">
        <f>(M175-N175)=EXP(-E175*J175)*(D175-G175)</f>
        <v>1</v>
      </c>
    </row>
    <row r="176" spans="1:15" x14ac:dyDescent="0.3">
      <c r="A176" s="1">
        <v>45987</v>
      </c>
      <c r="B176" t="s">
        <v>6</v>
      </c>
      <c r="C176">
        <v>6812.61</v>
      </c>
      <c r="D176">
        <v>7438.7479199999998</v>
      </c>
      <c r="E176" s="2">
        <v>3.2228440621681557E-2</v>
      </c>
      <c r="F176" s="1">
        <v>47102</v>
      </c>
      <c r="G176">
        <v>6471.9794999999995</v>
      </c>
      <c r="H176">
        <v>0.208009</v>
      </c>
      <c r="J176" s="3">
        <f t="shared" si="2"/>
        <v>3.0547945205479454</v>
      </c>
      <c r="K176" s="3">
        <f>(LN(D176/G176)+H176^2*J176/2)/(H176*SQRT(J176))</f>
        <v>0.56471825435545997</v>
      </c>
      <c r="L176" s="3">
        <f>K176-H176*SQRT(J176)</f>
        <v>0.20116073822478003</v>
      </c>
      <c r="M176" s="3">
        <f>EXP(-E176*J176)*(D176*_xlfn.NORM.DIST(K176,0,1,TRUE)-G176*_xlfn.NORM.DIST(L176,0,1,TRUE))</f>
        <v>1412.2702303421293</v>
      </c>
      <c r="N176" s="3">
        <f>EXP(-E176*J176)*(G176*_xlfn.NORM.DIST(-L176,0,1,TRUE)-D176*_xlfn.NORM.DIST(-K176,0,1,TRUE))</f>
        <v>536.1461544797354</v>
      </c>
      <c r="O176" s="3" t="b">
        <f>(M176-N176)=EXP(-E176*J176)*(D176-G176)</f>
        <v>1</v>
      </c>
    </row>
    <row r="177" spans="1:15" x14ac:dyDescent="0.3">
      <c r="A177" s="1">
        <v>45987</v>
      </c>
      <c r="B177" t="s">
        <v>6</v>
      </c>
      <c r="C177">
        <v>6812.61</v>
      </c>
      <c r="D177">
        <v>7438.7479199999998</v>
      </c>
      <c r="E177" s="2">
        <v>3.2228440621681557E-2</v>
      </c>
      <c r="F177" s="1">
        <v>47102</v>
      </c>
      <c r="G177">
        <v>6812.61</v>
      </c>
      <c r="H177">
        <v>0.19800300000000001</v>
      </c>
      <c r="J177" s="3">
        <f t="shared" si="2"/>
        <v>3.0547945205479454</v>
      </c>
      <c r="K177" s="3">
        <f>(LN(D177/G177)+H177^2*J177/2)/(H177*SQRT(J177))</f>
        <v>0.42710878270441738</v>
      </c>
      <c r="L177" s="3">
        <f>K177-H177*SQRT(J177)</f>
        <v>8.1039723834738564E-2</v>
      </c>
      <c r="M177" s="3">
        <f>EXP(-E177*J177)*(D177*_xlfn.NORM.DIST(K177,0,1,TRUE)-G177*_xlfn.NORM.DIST(L177,0,1,TRUE))</f>
        <v>1199.0038719198533</v>
      </c>
      <c r="N177" s="3">
        <f>EXP(-E177*J177)*(G177*_xlfn.NORM.DIST(-L177,0,1,TRUE)-D177*_xlfn.NORM.DIST(-K177,0,1,TRUE))</f>
        <v>631.57273207935066</v>
      </c>
      <c r="O177" s="3" t="b">
        <f>(M177-N177)=EXP(-E177*J177)*(D177-G177)</f>
        <v>0</v>
      </c>
    </row>
    <row r="178" spans="1:15" x14ac:dyDescent="0.3">
      <c r="A178" s="1">
        <v>45987</v>
      </c>
      <c r="B178" t="s">
        <v>6</v>
      </c>
      <c r="C178">
        <v>6812.61</v>
      </c>
      <c r="D178">
        <v>7438.7479199999998</v>
      </c>
      <c r="E178" s="2">
        <v>3.2228440621681557E-2</v>
      </c>
      <c r="F178" s="1">
        <v>47102</v>
      </c>
      <c r="G178">
        <v>7153.240499999999</v>
      </c>
      <c r="H178">
        <v>0.18820399999999998</v>
      </c>
      <c r="J178" s="3">
        <f t="shared" si="2"/>
        <v>3.0547945205479454</v>
      </c>
      <c r="K178" s="3">
        <f>(LN(D178/G178)+H178^2*J178/2)/(H178*SQRT(J178))</f>
        <v>0.28344970001188546</v>
      </c>
      <c r="L178" s="3">
        <f>K178-H178*SQRT(J178)</f>
        <v>-4.549269558570157E-2</v>
      </c>
      <c r="M178" s="3">
        <f>EXP(-E178*J178)*(D178*_xlfn.NORM.DIST(K178,0,1,TRUE)-G178*_xlfn.NORM.DIST(L178,0,1,TRUE))</f>
        <v>999.1997355286951</v>
      </c>
      <c r="N178" s="3">
        <f>EXP(-E178*J178)*(G178*_xlfn.NORM.DIST(-L178,0,1,TRUE)-D178*_xlfn.NORM.DIST(-K178,0,1,TRUE))</f>
        <v>740.46153171008325</v>
      </c>
      <c r="O178" s="3" t="b">
        <f>(M178-N178)=EXP(-E178*J178)*(D178-G178)</f>
        <v>0</v>
      </c>
    </row>
    <row r="179" spans="1:15" x14ac:dyDescent="0.3">
      <c r="A179" s="1">
        <v>45987</v>
      </c>
      <c r="B179" t="s">
        <v>6</v>
      </c>
      <c r="C179">
        <v>6812.61</v>
      </c>
      <c r="D179">
        <v>7438.7479199999998</v>
      </c>
      <c r="E179" s="2">
        <v>3.2228440621681557E-2</v>
      </c>
      <c r="F179" s="1">
        <v>47102</v>
      </c>
      <c r="G179">
        <v>7493.8710000000001</v>
      </c>
      <c r="H179">
        <v>0.178504</v>
      </c>
      <c r="J179" s="3">
        <f t="shared" si="2"/>
        <v>3.0547945205479454</v>
      </c>
      <c r="K179" s="3">
        <f>(LN(D179/G179)+H179^2*J179/2)/(H179*SQRT(J179))</f>
        <v>0.13233025398543136</v>
      </c>
      <c r="L179" s="3">
        <f>K179-H179*SQRT(J179)</f>
        <v>-0.17965851024780322</v>
      </c>
      <c r="M179" s="3">
        <f>EXP(-E179*J179)*(D179*_xlfn.NORM.DIST(K179,0,1,TRUE)-G179*_xlfn.NORM.DIST(L179,0,1,TRUE))</f>
        <v>814.01931616267836</v>
      </c>
      <c r="N179" s="3">
        <f>EXP(-E179*J179)*(G179*_xlfn.NORM.DIST(-L179,0,1,TRUE)-D179*_xlfn.NORM.DIST(-K179,0,1,TRUE))</f>
        <v>863.97404836596013</v>
      </c>
      <c r="O179" s="3" t="b">
        <f>(M179-N179)=EXP(-E179*J179)*(D179-G179)</f>
        <v>0</v>
      </c>
    </row>
    <row r="180" spans="1:15" x14ac:dyDescent="0.3">
      <c r="A180" s="1">
        <v>45987</v>
      </c>
      <c r="B180" t="s">
        <v>6</v>
      </c>
      <c r="C180">
        <v>6812.61</v>
      </c>
      <c r="D180">
        <v>7438.7479199999998</v>
      </c>
      <c r="E180" s="2">
        <v>3.2228440621681557E-2</v>
      </c>
      <c r="F180" s="1">
        <v>47102</v>
      </c>
      <c r="G180">
        <v>8175.1319999999996</v>
      </c>
      <c r="H180">
        <v>0.16125299999999998</v>
      </c>
      <c r="J180" s="3">
        <f t="shared" si="2"/>
        <v>3.0547945205479454</v>
      </c>
      <c r="K180" s="3">
        <f>(LN(D180/G180)+H180^2*J180/2)/(H180*SQRT(J180))</f>
        <v>-0.19400584598563672</v>
      </c>
      <c r="L180" s="3">
        <f>K180-H180*SQRT(J180)</f>
        <v>-0.47584336334604194</v>
      </c>
      <c r="M180" s="3">
        <f>EXP(-E180*J180)*(D180*_xlfn.NORM.DIST(K180,0,1,TRUE)-G180*_xlfn.NORM.DIST(L180,0,1,TRUE))</f>
        <v>502.91825348442342</v>
      </c>
      <c r="N180" s="3">
        <f>EXP(-E180*J180)*(G180*_xlfn.NORM.DIST(-L180,0,1,TRUE)-D180*_xlfn.NORM.DIST(-K180,0,1,TRUE))</f>
        <v>1170.2588577314875</v>
      </c>
      <c r="O180" s="3" t="b">
        <f>(M180-N180)=EXP(-E180*J180)*(D180-G180)</f>
        <v>0</v>
      </c>
    </row>
    <row r="181" spans="1:15" x14ac:dyDescent="0.3">
      <c r="A181" s="1">
        <v>45987</v>
      </c>
      <c r="B181" t="s">
        <v>6</v>
      </c>
      <c r="C181">
        <v>6812.61</v>
      </c>
      <c r="D181">
        <v>7438.7479199999998</v>
      </c>
      <c r="E181" s="2">
        <v>3.2228440621681557E-2</v>
      </c>
      <c r="F181" s="1">
        <v>47102</v>
      </c>
      <c r="G181">
        <v>8856.393</v>
      </c>
      <c r="H181">
        <v>0.147594</v>
      </c>
      <c r="J181" s="3">
        <f t="shared" si="2"/>
        <v>3.0547945205479454</v>
      </c>
      <c r="K181" s="3">
        <f>(LN(D181/G181)+H181^2*J181/2)/(H181*SQRT(J181))</f>
        <v>-0.54722374542979013</v>
      </c>
      <c r="L181" s="3">
        <f>K181-H181*SQRT(J181)</f>
        <v>-0.8051881029133201</v>
      </c>
      <c r="M181" s="3">
        <f>EXP(-E181*J181)*(D181*_xlfn.NORM.DIST(K181,0,1,TRUE)-G181*_xlfn.NORM.DIST(L181,0,1,TRUE))</f>
        <v>280.89787265786015</v>
      </c>
      <c r="N181" s="3">
        <f>EXP(-E181*J181)*(G181*_xlfn.NORM.DIST(-L181,0,1,TRUE)-D181*_xlfn.NORM.DIST(-K181,0,1,TRUE))</f>
        <v>1565.6243489487074</v>
      </c>
      <c r="O181" s="3" t="b">
        <f>(M181-N181)=EXP(-E181*J181)*(D181-G181)</f>
        <v>1</v>
      </c>
    </row>
    <row r="182" spans="1:15" x14ac:dyDescent="0.3">
      <c r="A182" s="1">
        <v>45987</v>
      </c>
      <c r="B182" t="s">
        <v>6</v>
      </c>
      <c r="C182">
        <v>6812.61</v>
      </c>
      <c r="D182">
        <v>7438.7479199999998</v>
      </c>
      <c r="E182" s="2">
        <v>3.2228440621681557E-2</v>
      </c>
      <c r="F182" s="1">
        <v>47102</v>
      </c>
      <c r="G182">
        <v>9537.6539999999986</v>
      </c>
      <c r="H182">
        <v>0.13852999999999999</v>
      </c>
      <c r="J182" s="3">
        <f t="shared" si="2"/>
        <v>3.0547945205479454</v>
      </c>
      <c r="K182" s="3">
        <f>(LN(D182/G182)+H182^2*J182/2)/(H182*SQRT(J182))</f>
        <v>-0.90546540361250838</v>
      </c>
      <c r="L182" s="3">
        <f>K182-H182*SQRT(J182)</f>
        <v>-1.1475877286541321</v>
      </c>
      <c r="M182" s="3">
        <f>EXP(-E182*J182)*(D182*_xlfn.NORM.DIST(K182,0,1,TRUE)-G182*_xlfn.NORM.DIST(L182,0,1,TRUE))</f>
        <v>145.67634608882778</v>
      </c>
      <c r="N182" s="3">
        <f>EXP(-E182*J182)*(G182*_xlfn.NORM.DIST(-L182,0,1,TRUE)-D182*_xlfn.NORM.DIST(-K182,0,1,TRUE))</f>
        <v>2047.788694423456</v>
      </c>
      <c r="O182" s="3" t="b">
        <f>(M182-N182)=EXP(-E182*J182)*(D182-G182)</f>
        <v>1</v>
      </c>
    </row>
    <row r="183" spans="1:15" x14ac:dyDescent="0.3">
      <c r="A183" s="1">
        <v>45987</v>
      </c>
      <c r="B183" t="s">
        <v>6</v>
      </c>
      <c r="C183">
        <v>6812.61</v>
      </c>
      <c r="D183">
        <v>7438.7479199999998</v>
      </c>
      <c r="E183" s="2">
        <v>3.2228440621681557E-2</v>
      </c>
      <c r="F183" s="1">
        <v>47102</v>
      </c>
      <c r="G183">
        <v>10218.915000000001</v>
      </c>
      <c r="H183">
        <v>0.133712</v>
      </c>
      <c r="J183" s="3">
        <f t="shared" si="2"/>
        <v>3.0547945205479454</v>
      </c>
      <c r="K183" s="3">
        <f>(LN(D183/G183)+H183^2*J183/2)/(H183*SQRT(J183))</f>
        <v>-1.2418823373186172</v>
      </c>
      <c r="L183" s="3">
        <f>K183-H183*SQRT(J183)</f>
        <v>-1.4755837761835964</v>
      </c>
      <c r="M183" s="3">
        <f>EXP(-E183*J183)*(D183*_xlfn.NORM.DIST(K183,0,1,TRUE)-G183*_xlfn.NORM.DIST(L183,0,1,TRUE))</f>
        <v>73.748812975770406</v>
      </c>
      <c r="N183" s="3">
        <f>EXP(-E183*J183)*(G183*_xlfn.NORM.DIST(-L183,0,1,TRUE)-D183*_xlfn.NORM.DIST(-K183,0,1,TRUE))</f>
        <v>2593.2470333541833</v>
      </c>
      <c r="O183" s="3" t="b">
        <f>(M183-N183)=EXP(-E183*J183)*(D183-G183)</f>
        <v>1</v>
      </c>
    </row>
    <row r="184" spans="1:15" x14ac:dyDescent="0.3">
      <c r="A184" s="1">
        <v>45987</v>
      </c>
      <c r="B184" t="s">
        <v>6</v>
      </c>
      <c r="C184">
        <v>6812.61</v>
      </c>
      <c r="D184">
        <v>7690.0705500000004</v>
      </c>
      <c r="E184" s="2">
        <v>3.2388248972571552E-2</v>
      </c>
      <c r="F184" s="1">
        <v>47473</v>
      </c>
      <c r="G184">
        <v>3406.3049999999998</v>
      </c>
      <c r="H184">
        <v>0.29910399999999998</v>
      </c>
      <c r="J184" s="3">
        <f t="shared" si="2"/>
        <v>4.0712328767123287</v>
      </c>
      <c r="K184" s="3">
        <f>(LN(D184/G184)+H184^2*J184/2)/(H184*SQRT(J184))</f>
        <v>1.6510297086209191</v>
      </c>
      <c r="L184" s="3">
        <f>K184-H184*SQRT(J184)</f>
        <v>1.0475187041143881</v>
      </c>
      <c r="M184" s="3">
        <f>EXP(-E184*J184)*(D184*_xlfn.NORM.DIST(K184,0,1,TRUE)-G184*_xlfn.NORM.DIST(L184,0,1,TRUE))</f>
        <v>3861.9859411925204</v>
      </c>
      <c r="N184" s="3">
        <f>EXP(-E184*J184)*(G184*_xlfn.NORM.DIST(-L184,0,1,TRUE)-D184*_xlfn.NORM.DIST(-K184,0,1,TRUE))</f>
        <v>107.42136472735295</v>
      </c>
      <c r="O184" s="3" t="b">
        <f>(M184-N184)=EXP(-E184*J184)*(D184-G184)</f>
        <v>1</v>
      </c>
    </row>
    <row r="185" spans="1:15" x14ac:dyDescent="0.3">
      <c r="A185" s="1">
        <v>45987</v>
      </c>
      <c r="B185" t="s">
        <v>6</v>
      </c>
      <c r="C185">
        <v>6812.61</v>
      </c>
      <c r="D185">
        <v>7690.0705500000004</v>
      </c>
      <c r="E185" s="2">
        <v>3.2388248972571552E-2</v>
      </c>
      <c r="F185" s="1">
        <v>47473</v>
      </c>
      <c r="G185">
        <v>4087.5659999999998</v>
      </c>
      <c r="H185">
        <v>0.27403100000000002</v>
      </c>
      <c r="J185" s="3">
        <f t="shared" si="2"/>
        <v>4.0712328767123287</v>
      </c>
      <c r="K185" s="3">
        <f>(LN(D185/G185)+H185^2*J185/2)/(H185*SQRT(J185))</f>
        <v>1.419446088599817</v>
      </c>
      <c r="L185" s="3">
        <f>K185-H185*SQRT(J185)</f>
        <v>0.86652561921147975</v>
      </c>
      <c r="M185" s="3">
        <f>EXP(-E185*J185)*(D185*_xlfn.NORM.DIST(K185,0,1,TRUE)-G185*_xlfn.NORM.DIST(L185,0,1,TRUE))</f>
        <v>3324.3215088367488</v>
      </c>
      <c r="N185" s="3">
        <f>EXP(-E185*J185)*(G185*_xlfn.NORM.DIST(-L185,0,1,TRUE)-D185*_xlfn.NORM.DIST(-K185,0,1,TRUE))</f>
        <v>166.85740112324677</v>
      </c>
      <c r="O185" s="3" t="b">
        <f>(M185-N185)=EXP(-E185*J185)*(D185-G185)</f>
        <v>1</v>
      </c>
    </row>
    <row r="186" spans="1:15" x14ac:dyDescent="0.3">
      <c r="A186" s="1">
        <v>45987</v>
      </c>
      <c r="B186" t="s">
        <v>6</v>
      </c>
      <c r="C186">
        <v>6812.61</v>
      </c>
      <c r="D186">
        <v>7690.0705500000004</v>
      </c>
      <c r="E186" s="2">
        <v>3.2388248972571552E-2</v>
      </c>
      <c r="F186" s="1">
        <v>47473</v>
      </c>
      <c r="G186">
        <v>4768.8269999999993</v>
      </c>
      <c r="H186">
        <v>0.25218099999999999</v>
      </c>
      <c r="J186" s="3">
        <f t="shared" si="2"/>
        <v>4.0712328767123287</v>
      </c>
      <c r="K186" s="3">
        <f>(LN(D186/G186)+H186^2*J186/2)/(H186*SQRT(J186))</f>
        <v>1.1934859832716664</v>
      </c>
      <c r="L186" s="3">
        <f>K186-H186*SQRT(J186)</f>
        <v>0.68465290639050969</v>
      </c>
      <c r="M186" s="3">
        <f>EXP(-E186*J186)*(D186*_xlfn.NORM.DIST(K186,0,1,TRUE)-G186*_xlfn.NORM.DIST(L186,0,1,TRUE))</f>
        <v>2807.7006808056917</v>
      </c>
      <c r="N186" s="3">
        <f>EXP(-E186*J186)*(G186*_xlfn.NORM.DIST(-L186,0,1,TRUE)-D186*_xlfn.NORM.DIST(-K186,0,1,TRUE))</f>
        <v>247.33704184385428</v>
      </c>
      <c r="O186" s="3" t="b">
        <f>(M186-N186)=EXP(-E186*J186)*(D186-G186)</f>
        <v>1</v>
      </c>
    </row>
    <row r="187" spans="1:15" x14ac:dyDescent="0.3">
      <c r="A187" s="1">
        <v>45987</v>
      </c>
      <c r="B187" t="s">
        <v>6</v>
      </c>
      <c r="C187">
        <v>6812.61</v>
      </c>
      <c r="D187">
        <v>7690.0705500000004</v>
      </c>
      <c r="E187" s="2">
        <v>3.2388248972571552E-2</v>
      </c>
      <c r="F187" s="1">
        <v>47473</v>
      </c>
      <c r="G187">
        <v>5450.0879999999997</v>
      </c>
      <c r="H187">
        <v>0.23274699999999998</v>
      </c>
      <c r="J187" s="3">
        <f t="shared" si="2"/>
        <v>4.0712328767123287</v>
      </c>
      <c r="K187" s="3">
        <f>(LN(D187/G187)+H187^2*J187/2)/(H187*SQRT(J187))</f>
        <v>0.96795156908819291</v>
      </c>
      <c r="L187" s="3">
        <f>K187-H187*SQRT(J187)</f>
        <v>0.49833104991799931</v>
      </c>
      <c r="M187" s="3">
        <f>EXP(-E187*J187)*(D187*_xlfn.NORM.DIST(K187,0,1,TRUE)-G187*_xlfn.NORM.DIST(L187,0,1,TRUE))</f>
        <v>2317.442179966994</v>
      </c>
      <c r="N187" s="3">
        <f>EXP(-E187*J187)*(G187*_xlfn.NORM.DIST(-L187,0,1,TRUE)-D187*_xlfn.NORM.DIST(-K187,0,1,TRUE))</f>
        <v>354.17900975682329</v>
      </c>
      <c r="O187" s="3" t="b">
        <f>(M187-N187)=EXP(-E187*J187)*(D187-G187)</f>
        <v>1</v>
      </c>
    </row>
    <row r="188" spans="1:15" x14ac:dyDescent="0.3">
      <c r="A188" s="1">
        <v>45987</v>
      </c>
      <c r="B188" t="s">
        <v>6</v>
      </c>
      <c r="C188">
        <v>6812.61</v>
      </c>
      <c r="D188">
        <v>7690.0705500000004</v>
      </c>
      <c r="E188" s="2">
        <v>3.2388248972571552E-2</v>
      </c>
      <c r="F188" s="1">
        <v>47473</v>
      </c>
      <c r="G188">
        <v>6131.3490000000002</v>
      </c>
      <c r="H188">
        <v>0.21523500000000001</v>
      </c>
      <c r="J188" s="3">
        <f t="shared" si="2"/>
        <v>4.0712328767123287</v>
      </c>
      <c r="K188" s="3">
        <f>(LN(D188/G188)+H188^2*J188/2)/(H188*SQRT(J188))</f>
        <v>0.73872360638592338</v>
      </c>
      <c r="L188" s="3">
        <f>K188-H188*SQRT(J188)</f>
        <v>0.30443756856976839</v>
      </c>
      <c r="M188" s="3">
        <f>EXP(-E188*J188)*(D188*_xlfn.NORM.DIST(K188,0,1,TRUE)-G188*_xlfn.NORM.DIST(L188,0,1,TRUE))</f>
        <v>1859.9135885457213</v>
      </c>
      <c r="N188" s="3">
        <f>EXP(-E188*J188)*(G188*_xlfn.NORM.DIST(-L188,0,1,TRUE)-D188*_xlfn.NORM.DIST(-K188,0,1,TRUE))</f>
        <v>493.75088708721569</v>
      </c>
      <c r="O188" s="3" t="b">
        <f>(M188-N188)=EXP(-E188*J188)*(D188-G188)</f>
        <v>1</v>
      </c>
    </row>
    <row r="189" spans="1:15" x14ac:dyDescent="0.3">
      <c r="A189" s="1">
        <v>45987</v>
      </c>
      <c r="B189" t="s">
        <v>6</v>
      </c>
      <c r="C189">
        <v>6812.61</v>
      </c>
      <c r="D189">
        <v>7690.0705500000004</v>
      </c>
      <c r="E189" s="2">
        <v>3.2388248972571552E-2</v>
      </c>
      <c r="F189" s="1">
        <v>47473</v>
      </c>
      <c r="G189">
        <v>6471.9794999999995</v>
      </c>
      <c r="H189">
        <v>0.20710200000000001</v>
      </c>
      <c r="J189" s="3">
        <f t="shared" si="2"/>
        <v>4.0712328767123287</v>
      </c>
      <c r="K189" s="3">
        <f>(LN(D189/G189)+H189^2*J189/2)/(H189*SQRT(J189))</f>
        <v>0.62161539117648879</v>
      </c>
      <c r="L189" s="3">
        <f>K189-H189*SQRT(J189)</f>
        <v>0.20373954847524905</v>
      </c>
      <c r="M189" s="3">
        <f>EXP(-E189*J189)*(D189*_xlfn.NORM.DIST(K189,0,1,TRUE)-G189*_xlfn.NORM.DIST(L189,0,1,TRUE))</f>
        <v>1645.696417422372</v>
      </c>
      <c r="N189" s="3">
        <f>EXP(-E189*J189)*(G189*_xlfn.NORM.DIST(-L189,0,1,TRUE)-D189*_xlfn.NORM.DIST(-K189,0,1,TRUE))</f>
        <v>578.08395033969964</v>
      </c>
      <c r="O189" s="3" t="b">
        <f>(M189-N189)=EXP(-E189*J189)*(D189-G189)</f>
        <v>1</v>
      </c>
    </row>
    <row r="190" spans="1:15" x14ac:dyDescent="0.3">
      <c r="A190" s="1">
        <v>45987</v>
      </c>
      <c r="B190" t="s">
        <v>6</v>
      </c>
      <c r="C190">
        <v>6812.61</v>
      </c>
      <c r="D190">
        <v>7690.0705500000004</v>
      </c>
      <c r="E190" s="2">
        <v>3.2388248972571552E-2</v>
      </c>
      <c r="F190" s="1">
        <v>47473</v>
      </c>
      <c r="G190">
        <v>6812.61</v>
      </c>
      <c r="H190">
        <v>0.19935200000000003</v>
      </c>
      <c r="J190" s="3">
        <f t="shared" si="2"/>
        <v>4.0712328767123287</v>
      </c>
      <c r="K190" s="3">
        <f>(LN(D190/G190)+H190^2*J190/2)/(H190*SQRT(J190))</f>
        <v>0.50232029684459101</v>
      </c>
      <c r="L190" s="3">
        <f>K190-H190*SQRT(J190)</f>
        <v>0.10008185880836945</v>
      </c>
      <c r="M190" s="3">
        <f>EXP(-E190*J190)*(D190*_xlfn.NORM.DIST(K190,0,1,TRUE)-G190*_xlfn.NORM.DIST(L190,0,1,TRUE))</f>
        <v>1442.4974301760772</v>
      </c>
      <c r="N190" s="3">
        <f>EXP(-E190*J190)*(G190*_xlfn.NORM.DIST(-L190,0,1,TRUE)-D190*_xlfn.NORM.DIST(-K190,0,1,TRUE))</f>
        <v>673.43519746923698</v>
      </c>
      <c r="O190" s="3" t="b">
        <f>(M190-N190)=EXP(-E190*J190)*(D190-G190)</f>
        <v>1</v>
      </c>
    </row>
    <row r="191" spans="1:15" x14ac:dyDescent="0.3">
      <c r="A191" s="1">
        <v>45987</v>
      </c>
      <c r="B191" t="s">
        <v>6</v>
      </c>
      <c r="C191">
        <v>6812.61</v>
      </c>
      <c r="D191">
        <v>7690.0705500000004</v>
      </c>
      <c r="E191" s="2">
        <v>3.2388248972571552E-2</v>
      </c>
      <c r="F191" s="1">
        <v>47473</v>
      </c>
      <c r="G191">
        <v>7153.240499999999</v>
      </c>
      <c r="H191">
        <v>0.19197199999999998</v>
      </c>
      <c r="J191" s="3">
        <f t="shared" si="2"/>
        <v>4.0712328767123287</v>
      </c>
      <c r="K191" s="3">
        <f>(LN(D191/G191)+H191^2*J191/2)/(H191*SQRT(J191))</f>
        <v>0.38049433758599999</v>
      </c>
      <c r="L191" s="3">
        <f>K191-H191*SQRT(J191)</f>
        <v>-6.8532557498556801E-3</v>
      </c>
      <c r="M191" s="3">
        <f>EXP(-E191*J191)*(D191*_xlfn.NORM.DIST(K191,0,1,TRUE)-G191*_xlfn.NORM.DIST(L191,0,1,TRUE))</f>
        <v>1251.3475400719647</v>
      </c>
      <c r="N191" s="3">
        <f>EXP(-E191*J191)*(G191*_xlfn.NORM.DIST(-L191,0,1,TRUE)-D191*_xlfn.NORM.DIST(-K191,0,1,TRUE))</f>
        <v>780.83554174095696</v>
      </c>
      <c r="O191" s="3" t="b">
        <f>(M191-N191)=EXP(-E191*J191)*(D191-G191)</f>
        <v>1</v>
      </c>
    </row>
    <row r="192" spans="1:15" x14ac:dyDescent="0.3">
      <c r="A192" s="1">
        <v>45987</v>
      </c>
      <c r="B192" t="s">
        <v>6</v>
      </c>
      <c r="C192">
        <v>6812.61</v>
      </c>
      <c r="D192">
        <v>7690.0705500000004</v>
      </c>
      <c r="E192" s="2">
        <v>3.2388248972571552E-2</v>
      </c>
      <c r="F192" s="1">
        <v>47473</v>
      </c>
      <c r="G192">
        <v>7493.8710000000001</v>
      </c>
      <c r="H192">
        <v>0.18495600000000001</v>
      </c>
      <c r="J192" s="3">
        <f t="shared" si="2"/>
        <v>4.0712328767123287</v>
      </c>
      <c r="K192" s="3">
        <f>(LN(D192/G192)+H192^2*J192/2)/(H192*SQRT(J192))</f>
        <v>0.25584822850839123</v>
      </c>
      <c r="L192" s="3">
        <f>K192-H192*SQRT(J192)</f>
        <v>-0.11734297371394609</v>
      </c>
      <c r="M192" s="3">
        <f>EXP(-E192*J192)*(D192*_xlfn.NORM.DIST(K192,0,1,TRUE)-G192*_xlfn.NORM.DIST(L192,0,1,TRUE))</f>
        <v>1073.2673966905552</v>
      </c>
      <c r="N192" s="3">
        <f>EXP(-E192*J192)*(G192*_xlfn.NORM.DIST(-L192,0,1,TRUE)-D192*_xlfn.NORM.DIST(-K192,0,1,TRUE))</f>
        <v>901.30563273538087</v>
      </c>
      <c r="O192" s="3" t="b">
        <f>(M192-N192)=EXP(-E192*J192)*(D192-G192)</f>
        <v>1</v>
      </c>
    </row>
    <row r="193" spans="1:15" x14ac:dyDescent="0.3">
      <c r="A193" s="1">
        <v>45987</v>
      </c>
      <c r="B193" t="s">
        <v>6</v>
      </c>
      <c r="C193">
        <v>6812.61</v>
      </c>
      <c r="D193">
        <v>7690.0705500000004</v>
      </c>
      <c r="E193" s="2">
        <v>3.2388248972571552E-2</v>
      </c>
      <c r="F193" s="1">
        <v>47473</v>
      </c>
      <c r="G193">
        <v>8175.1319999999996</v>
      </c>
      <c r="H193">
        <v>0.17203800000000002</v>
      </c>
      <c r="J193" s="3">
        <f t="shared" si="2"/>
        <v>4.0712328767123287</v>
      </c>
      <c r="K193" s="3">
        <f>(LN(D193/G193)+H193^2*J193/2)/(H193*SQRT(J193))</f>
        <v>-2.6463475289862041E-3</v>
      </c>
      <c r="L193" s="3">
        <f>K193-H193*SQRT(J193)</f>
        <v>-0.34977251833678086</v>
      </c>
      <c r="M193" s="3">
        <f>EXP(-E193*J193)*(D193*_xlfn.NORM.DIST(K193,0,1,TRUE)-G193*_xlfn.NORM.DIST(L193,0,1,TRUE))</f>
        <v>760.12300125589775</v>
      </c>
      <c r="N193" s="3">
        <f>EXP(-E193*J193)*(G193*_xlfn.NORM.DIST(-L193,0,1,TRUE)-D193*_xlfn.NORM.DIST(-K193,0,1,TRUE))</f>
        <v>1185.2617060523885</v>
      </c>
      <c r="O193" s="3" t="b">
        <f>(M193-N193)=EXP(-E193*J193)*(D193-G193)</f>
        <v>1</v>
      </c>
    </row>
    <row r="194" spans="1:15" x14ac:dyDescent="0.3">
      <c r="A194" s="1">
        <v>45987</v>
      </c>
      <c r="B194" t="s">
        <v>6</v>
      </c>
      <c r="C194">
        <v>6812.61</v>
      </c>
      <c r="D194">
        <v>7690.0705500000004</v>
      </c>
      <c r="E194" s="2">
        <v>3.2388248972571552E-2</v>
      </c>
      <c r="F194" s="1">
        <v>47473</v>
      </c>
      <c r="G194">
        <v>8856.393</v>
      </c>
      <c r="H194">
        <v>0.160717</v>
      </c>
      <c r="J194" s="3">
        <f t="shared" si="2"/>
        <v>4.0712328767123287</v>
      </c>
      <c r="K194" s="3">
        <f>(LN(D194/G194)+H194^2*J194/2)/(H194*SQRT(J194))</f>
        <v>-0.27330945582657284</v>
      </c>
      <c r="L194" s="3">
        <f>K194-H194*SQRT(J194)</f>
        <v>-0.59759290944563559</v>
      </c>
      <c r="M194" s="3">
        <f>EXP(-E194*J194)*(D194*_xlfn.NORM.DIST(K194,0,1,TRUE)-G194*_xlfn.NORM.DIST(L194,0,1,TRUE))</f>
        <v>509.11267454253203</v>
      </c>
      <c r="N194" s="3">
        <f>EXP(-E194*J194)*(G194*_xlfn.NORM.DIST(-L194,0,1,TRUE)-D194*_xlfn.NORM.DIST(-K194,0,1,TRUE))</f>
        <v>1531.3518480906887</v>
      </c>
      <c r="O194" s="3" t="b">
        <f>(M194-N194)=EXP(-E194*J194)*(D194-G194)</f>
        <v>1</v>
      </c>
    </row>
    <row r="195" spans="1:15" x14ac:dyDescent="0.3">
      <c r="A195" s="1">
        <v>45987</v>
      </c>
      <c r="B195" t="s">
        <v>6</v>
      </c>
      <c r="C195">
        <v>6812.61</v>
      </c>
      <c r="D195">
        <v>7690.0705500000004</v>
      </c>
      <c r="E195" s="2">
        <v>3.2388248972571552E-2</v>
      </c>
      <c r="F195" s="1">
        <v>47473</v>
      </c>
      <c r="G195">
        <v>9537.6539999999986</v>
      </c>
      <c r="H195">
        <v>0.15121200000000001</v>
      </c>
      <c r="J195" s="3">
        <f t="shared" ref="J195:J258" si="3">(F195-A195)/365</f>
        <v>4.0712328767123287</v>
      </c>
      <c r="K195" s="3">
        <f>(LN(D195/G195)+H195^2*J195/2)/(H195*SQRT(J195))</f>
        <v>-0.55316403254673485</v>
      </c>
      <c r="L195" s="3">
        <f>K195-H195*SQRT(J195)</f>
        <v>-0.85826896599276559</v>
      </c>
      <c r="M195" s="3">
        <f>EXP(-E195*J195)*(D195*_xlfn.NORM.DIST(K195,0,1,TRUE)-G195*_xlfn.NORM.DIST(L195,0,1,TRUE))</f>
        <v>321.93477740436794</v>
      </c>
      <c r="N195" s="3">
        <f>EXP(-E195*J195)*(G195*_xlfn.NORM.DIST(-L195,0,1,TRUE)-D195*_xlfn.NORM.DIST(-K195,0,1,TRUE))</f>
        <v>1941.2744197041886</v>
      </c>
      <c r="O195" s="3" t="b">
        <f>(M195-N195)=EXP(-E195*J195)*(D195-G195)</f>
        <v>1</v>
      </c>
    </row>
    <row r="196" spans="1:15" x14ac:dyDescent="0.3">
      <c r="A196" s="1">
        <v>45987</v>
      </c>
      <c r="B196" t="s">
        <v>6</v>
      </c>
      <c r="C196">
        <v>6812.61</v>
      </c>
      <c r="D196">
        <v>7690.0705500000004</v>
      </c>
      <c r="E196" s="2">
        <v>3.2388248972571552E-2</v>
      </c>
      <c r="F196" s="1">
        <v>47473</v>
      </c>
      <c r="G196">
        <v>10218.915000000001</v>
      </c>
      <c r="H196">
        <v>0.143758</v>
      </c>
      <c r="J196" s="3">
        <f t="shared" si="3"/>
        <v>4.0712328767123287</v>
      </c>
      <c r="K196" s="3">
        <f>(LN(D196/G196)+H196^2*J196/2)/(H196*SQRT(J196))</f>
        <v>-0.83512956100356339</v>
      </c>
      <c r="L196" s="3">
        <f>K196-H196*SQRT(J196)</f>
        <v>-1.1251943377562978</v>
      </c>
      <c r="M196" s="3">
        <f>EXP(-E196*J196)*(D196*_xlfn.NORM.DIST(K196,0,1,TRUE)-G196*_xlfn.NORM.DIST(L196,0,1,TRUE))</f>
        <v>193.68135215857285</v>
      </c>
      <c r="N196" s="3">
        <f>EXP(-E196*J196)*(G196*_xlfn.NORM.DIST(-L196,0,1,TRUE)-D196*_xlfn.NORM.DIST(-K196,0,1,TRUE))</f>
        <v>2410.1214632100618</v>
      </c>
      <c r="O196" s="3" t="b">
        <f>(M196-N196)=EXP(-E196*J196)*(D196-G196)</f>
        <v>1</v>
      </c>
    </row>
    <row r="197" spans="1:15" x14ac:dyDescent="0.3">
      <c r="A197" s="1">
        <v>45987</v>
      </c>
      <c r="B197" t="s">
        <v>6</v>
      </c>
      <c r="C197">
        <v>6812.61</v>
      </c>
      <c r="D197">
        <v>7971.7455300000001</v>
      </c>
      <c r="E197" s="2">
        <v>3.2795294820291157E-2</v>
      </c>
      <c r="F197" s="1">
        <v>47837</v>
      </c>
      <c r="G197">
        <v>3406.3049999999998</v>
      </c>
      <c r="H197">
        <v>0.29052699999999998</v>
      </c>
      <c r="J197" s="3">
        <f t="shared" si="3"/>
        <v>5.0684931506849313</v>
      </c>
      <c r="K197" s="3">
        <f>(LN(D197/G197)+H197^2*J197/2)/(H197*SQRT(J197))</f>
        <v>1.6270072689520589</v>
      </c>
      <c r="L197" s="3">
        <f>K197-H197*SQRT(J197)</f>
        <v>0.97293470626763068</v>
      </c>
      <c r="M197" s="3">
        <f>EXP(-E197*J197)*(D197*_xlfn.NORM.DIST(K197,0,1,TRUE)-G197*_xlfn.NORM.DIST(L197,0,1,TRUE))</f>
        <v>3992.9350548192383</v>
      </c>
      <c r="N197" s="3">
        <f>EXP(-E197*J197)*(G197*_xlfn.NORM.DIST(-L197,0,1,TRUE)-D197*_xlfn.NORM.DIST(-K197,0,1,TRUE))</f>
        <v>126.6570675319047</v>
      </c>
      <c r="O197" s="3" t="b">
        <f>(M197-N197)=EXP(-E197*J197)*(D197-G197)</f>
        <v>1</v>
      </c>
    </row>
    <row r="198" spans="1:15" x14ac:dyDescent="0.3">
      <c r="A198" s="1">
        <v>45987</v>
      </c>
      <c r="B198" t="s">
        <v>6</v>
      </c>
      <c r="C198">
        <v>6812.61</v>
      </c>
      <c r="D198">
        <v>7971.7455300000001</v>
      </c>
      <c r="E198" s="2">
        <v>3.2795294820291157E-2</v>
      </c>
      <c r="F198" s="1">
        <v>47837</v>
      </c>
      <c r="G198">
        <v>4087.5659999999998</v>
      </c>
      <c r="H198">
        <v>0.268646</v>
      </c>
      <c r="J198" s="3">
        <f t="shared" si="3"/>
        <v>5.0684931506849313</v>
      </c>
      <c r="K198" s="3">
        <f>(LN(D198/G198)+H198^2*J198/2)/(H198*SQRT(J198))</f>
        <v>1.4068061378440131</v>
      </c>
      <c r="L198" s="3">
        <f>K198-H198*SQRT(J198)</f>
        <v>0.80199495790231778</v>
      </c>
      <c r="M198" s="3">
        <f>EXP(-E198*J198)*(D198*_xlfn.NORM.DIST(K198,0,1,TRUE)-G198*_xlfn.NORM.DIST(L198,0,1,TRUE))</f>
        <v>3482.3678552389601</v>
      </c>
      <c r="N198" s="3">
        <f>EXP(-E198*J198)*(G198*_xlfn.NORM.DIST(-L198,0,1,TRUE)-D198*_xlfn.NORM.DIST(-K198,0,1,TRUE))</f>
        <v>193.02091996937227</v>
      </c>
      <c r="O198" s="3" t="b">
        <f>(M198-N198)=EXP(-E198*J198)*(D198-G198)</f>
        <v>1</v>
      </c>
    </row>
    <row r="199" spans="1:15" x14ac:dyDescent="0.3">
      <c r="A199" s="1">
        <v>45987</v>
      </c>
      <c r="B199" t="s">
        <v>6</v>
      </c>
      <c r="C199">
        <v>6812.61</v>
      </c>
      <c r="D199">
        <v>7971.7455300000001</v>
      </c>
      <c r="E199" s="2">
        <v>3.2795294820291157E-2</v>
      </c>
      <c r="F199" s="1">
        <v>47837</v>
      </c>
      <c r="G199">
        <v>4768.8269999999993</v>
      </c>
      <c r="H199">
        <v>0.24964900000000001</v>
      </c>
      <c r="J199" s="3">
        <f t="shared" si="3"/>
        <v>5.0684931506849313</v>
      </c>
      <c r="K199" s="3">
        <f>(LN(D199/G199)+H199^2*J199/2)/(H199*SQRT(J199))</f>
        <v>1.1951923881514508</v>
      </c>
      <c r="L199" s="3">
        <f>K199-H199*SQRT(J199)</f>
        <v>0.6331497511448908</v>
      </c>
      <c r="M199" s="3">
        <f>EXP(-E199*J199)*(D199*_xlfn.NORM.DIST(K199,0,1,TRUE)-G199*_xlfn.NORM.DIST(L199,0,1,TRUE))</f>
        <v>2992.6815780194352</v>
      </c>
      <c r="N199" s="3">
        <f>EXP(-E199*J199)*(G199*_xlfn.NORM.DIST(-L199,0,1,TRUE)-D199*_xlfn.NORM.DIST(-K199,0,1,TRUE))</f>
        <v>280.26569476759317</v>
      </c>
      <c r="O199" s="3" t="b">
        <f>(M199-N199)=EXP(-E199*J199)*(D199-G199)</f>
        <v>1</v>
      </c>
    </row>
    <row r="200" spans="1:15" x14ac:dyDescent="0.3">
      <c r="A200" s="1">
        <v>45987</v>
      </c>
      <c r="B200" t="s">
        <v>6</v>
      </c>
      <c r="C200">
        <v>6812.61</v>
      </c>
      <c r="D200">
        <v>7971.7455300000001</v>
      </c>
      <c r="E200" s="2">
        <v>3.2795294820291157E-2</v>
      </c>
      <c r="F200" s="1">
        <v>47837</v>
      </c>
      <c r="G200">
        <v>5450.0879999999997</v>
      </c>
      <c r="H200">
        <v>0.23281500000000002</v>
      </c>
      <c r="J200" s="3">
        <f t="shared" si="3"/>
        <v>5.0684931506849313</v>
      </c>
      <c r="K200" s="3">
        <f>(LN(D200/G200)+H200^2*J200/2)/(H200*SQRT(J200))</f>
        <v>0.98758226812940197</v>
      </c>
      <c r="L200" s="3">
        <f>K200-H200*SQRT(J200)</f>
        <v>0.46343854420227926</v>
      </c>
      <c r="M200" s="3">
        <f>EXP(-E200*J200)*(D200*_xlfn.NORM.DIST(K200,0,1,TRUE)-G200*_xlfn.NORM.DIST(L200,0,1,TRUE))</f>
        <v>2527.985326742792</v>
      </c>
      <c r="N200" s="3">
        <f>EXP(-E200*J200)*(G200*_xlfn.NORM.DIST(-L200,0,1,TRUE)-D200*_xlfn.NORM.DIST(-K200,0,1,TRUE))</f>
        <v>392.50049550869585</v>
      </c>
      <c r="O200" s="3" t="b">
        <f>(M200-N200)=EXP(-E200*J200)*(D200-G200)</f>
        <v>1</v>
      </c>
    </row>
    <row r="201" spans="1:15" x14ac:dyDescent="0.3">
      <c r="A201" s="1">
        <v>45987</v>
      </c>
      <c r="B201" t="s">
        <v>6</v>
      </c>
      <c r="C201">
        <v>6812.61</v>
      </c>
      <c r="D201">
        <v>7971.7455300000001</v>
      </c>
      <c r="E201" s="2">
        <v>3.2795294820291157E-2</v>
      </c>
      <c r="F201" s="1">
        <v>47837</v>
      </c>
      <c r="G201">
        <v>6131.3490000000002</v>
      </c>
      <c r="H201">
        <v>0.21769099999999997</v>
      </c>
      <c r="J201" s="3">
        <f t="shared" si="3"/>
        <v>5.0684931506849313</v>
      </c>
      <c r="K201" s="3">
        <f>(LN(D201/G201)+H201^2*J201/2)/(H201*SQRT(J201))</f>
        <v>0.78063511098647398</v>
      </c>
      <c r="L201" s="3">
        <f>K201-H201*SQRT(J201)</f>
        <v>0.29054052341514375</v>
      </c>
      <c r="M201" s="3">
        <f>EXP(-E201*J201)*(D201*_xlfn.NORM.DIST(K201,0,1,TRUE)-G201*_xlfn.NORM.DIST(L201,0,1,TRUE))</f>
        <v>2092.8758695120791</v>
      </c>
      <c r="N201" s="3">
        <f>EXP(-E201*J201)*(G201*_xlfn.NORM.DIST(-L201,0,1,TRUE)-D201*_xlfn.NORM.DIST(-K201,0,1,TRUE))</f>
        <v>534.32209029573016</v>
      </c>
      <c r="O201" s="3" t="b">
        <f>(M201-N201)=EXP(-E201*J201)*(D201-G201)</f>
        <v>1</v>
      </c>
    </row>
    <row r="202" spans="1:15" x14ac:dyDescent="0.3">
      <c r="A202" s="1">
        <v>45987</v>
      </c>
      <c r="B202" t="s">
        <v>6</v>
      </c>
      <c r="C202">
        <v>6812.61</v>
      </c>
      <c r="D202">
        <v>7971.7455300000001</v>
      </c>
      <c r="E202" s="2">
        <v>3.2795294820291157E-2</v>
      </c>
      <c r="F202" s="1">
        <v>47837</v>
      </c>
      <c r="G202">
        <v>6471.9794999999995</v>
      </c>
      <c r="H202">
        <v>0.21067599999999997</v>
      </c>
      <c r="J202" s="3">
        <f t="shared" si="3"/>
        <v>5.0684931506849313</v>
      </c>
      <c r="K202" s="3">
        <f>(LN(D202/G202)+H202^2*J202/2)/(H202*SQRT(J202))</f>
        <v>0.67657898199700417</v>
      </c>
      <c r="L202" s="3">
        <f>K202-H202*SQRT(J202)</f>
        <v>0.20227748431828724</v>
      </c>
      <c r="M202" s="3">
        <f>EXP(-E202*J202)*(D202*_xlfn.NORM.DIST(K202,0,1,TRUE)-G202*_xlfn.NORM.DIST(L202,0,1,TRUE))</f>
        <v>1887.9660120652809</v>
      </c>
      <c r="N202" s="3">
        <f>EXP(-E202*J202)*(G202*_xlfn.NORM.DIST(-L202,0,1,TRUE)-D202*_xlfn.NORM.DIST(-K202,0,1,TRUE))</f>
        <v>617.87775885780388</v>
      </c>
      <c r="O202" s="3" t="b">
        <f>(M202-N202)=EXP(-E202*J202)*(D202-G202)</f>
        <v>1</v>
      </c>
    </row>
    <row r="203" spans="1:15" x14ac:dyDescent="0.3">
      <c r="A203" s="1">
        <v>45987</v>
      </c>
      <c r="B203" t="s">
        <v>6</v>
      </c>
      <c r="C203">
        <v>6812.61</v>
      </c>
      <c r="D203">
        <v>7971.7455300000001</v>
      </c>
      <c r="E203" s="2">
        <v>3.2795294820291157E-2</v>
      </c>
      <c r="F203" s="1">
        <v>47837</v>
      </c>
      <c r="G203">
        <v>6812.61</v>
      </c>
      <c r="H203">
        <v>0.20399100000000001</v>
      </c>
      <c r="J203" s="3">
        <f t="shared" si="3"/>
        <v>5.0684931506849313</v>
      </c>
      <c r="K203" s="3">
        <f>(LN(D203/G203)+H203^2*J203/2)/(H203*SQRT(J203))</f>
        <v>0.57176549678096622</v>
      </c>
      <c r="L203" s="3">
        <f>K203-H203*SQRT(J203)</f>
        <v>0.11251414962714157</v>
      </c>
      <c r="M203" s="3">
        <f>EXP(-E203*J203)*(D203*_xlfn.NORM.DIST(K203,0,1,TRUE)-G203*_xlfn.NORM.DIST(L203,0,1,TRUE))</f>
        <v>1692.3456262548891</v>
      </c>
      <c r="N203" s="3">
        <f>EXP(-E203*J203)*(G203*_xlfn.NORM.DIST(-L203,0,1,TRUE)-D203*_xlfn.NORM.DIST(-K203,0,1,TRUE))</f>
        <v>710.72289905628509</v>
      </c>
      <c r="O203" s="3" t="b">
        <f>(M203-N203)=EXP(-E203*J203)*(D203-G203)</f>
        <v>1</v>
      </c>
    </row>
    <row r="204" spans="1:15" x14ac:dyDescent="0.3">
      <c r="A204" s="1">
        <v>45987</v>
      </c>
      <c r="B204" t="s">
        <v>6</v>
      </c>
      <c r="C204">
        <v>6812.61</v>
      </c>
      <c r="D204">
        <v>7971.7455300000001</v>
      </c>
      <c r="E204" s="2">
        <v>3.2795294820291157E-2</v>
      </c>
      <c r="F204" s="1">
        <v>47837</v>
      </c>
      <c r="G204">
        <v>7153.240499999999</v>
      </c>
      <c r="H204">
        <v>0.19761699999999999</v>
      </c>
      <c r="J204" s="3">
        <f t="shared" si="3"/>
        <v>5.0684931506849313</v>
      </c>
      <c r="K204" s="3">
        <f>(LN(D204/G204)+H204^2*J204/2)/(H204*SQRT(J204))</f>
        <v>0.46596086063254616</v>
      </c>
      <c r="L204" s="3">
        <f>K204-H204*SQRT(J204)</f>
        <v>2.1059499932822356E-2</v>
      </c>
      <c r="M204" s="3">
        <f>EXP(-E204*J204)*(D204*_xlfn.NORM.DIST(K204,0,1,TRUE)-G204*_xlfn.NORM.DIST(L204,0,1,TRUE))</f>
        <v>1506.6583424511341</v>
      </c>
      <c r="N204" s="3">
        <f>EXP(-E204*J204)*(G204*_xlfn.NORM.DIST(-L204,0,1,TRUE)-D204*_xlfn.NORM.DIST(-K204,0,1,TRUE))</f>
        <v>813.50114126140238</v>
      </c>
      <c r="O204" s="3" t="b">
        <f>(M204-N204)=EXP(-E204*J204)*(D204-G204)</f>
        <v>0</v>
      </c>
    </row>
    <row r="205" spans="1:15" x14ac:dyDescent="0.3">
      <c r="A205" s="1">
        <v>45987</v>
      </c>
      <c r="B205" t="s">
        <v>6</v>
      </c>
      <c r="C205">
        <v>6812.61</v>
      </c>
      <c r="D205">
        <v>7971.7455300000001</v>
      </c>
      <c r="E205" s="2">
        <v>3.2795294820291157E-2</v>
      </c>
      <c r="F205" s="1">
        <v>47837</v>
      </c>
      <c r="G205">
        <v>7493.8710000000001</v>
      </c>
      <c r="H205">
        <v>0.19154099999999999</v>
      </c>
      <c r="J205" s="3">
        <f t="shared" si="3"/>
        <v>5.0684931506849313</v>
      </c>
      <c r="K205" s="3">
        <f>(LN(D205/G205)+H205^2*J205/2)/(H205*SQRT(J205))</f>
        <v>0.35896642829211428</v>
      </c>
      <c r="L205" s="3">
        <f>K205-H205*SQRT(J205)</f>
        <v>-7.2255842715874929E-2</v>
      </c>
      <c r="M205" s="3">
        <f>EXP(-E205*J205)*(D205*_xlfn.NORM.DIST(K205,0,1,TRUE)-G205*_xlfn.NORM.DIST(L205,0,1,TRUE))</f>
        <v>1331.5356157181398</v>
      </c>
      <c r="N205" s="3">
        <f>EXP(-E205*J205)*(G205*_xlfn.NORM.DIST(-L205,0,1,TRUE)-D205*_xlfn.NORM.DIST(-K205,0,1,TRUE))</f>
        <v>926.84394053728215</v>
      </c>
      <c r="O205" s="3" t="b">
        <f>(M205-N205)=EXP(-E205*J205)*(D205-G205)</f>
        <v>0</v>
      </c>
    </row>
    <row r="206" spans="1:15" x14ac:dyDescent="0.3">
      <c r="A206" s="1">
        <v>45987</v>
      </c>
      <c r="B206" t="s">
        <v>6</v>
      </c>
      <c r="C206">
        <v>6812.61</v>
      </c>
      <c r="D206">
        <v>7971.7455300000001</v>
      </c>
      <c r="E206" s="2">
        <v>3.2795294820291157E-2</v>
      </c>
      <c r="F206" s="1">
        <v>47837</v>
      </c>
      <c r="G206">
        <v>8175.1319999999996</v>
      </c>
      <c r="H206">
        <v>0.18025400000000003</v>
      </c>
      <c r="J206" s="3">
        <f t="shared" si="3"/>
        <v>5.0684931506849313</v>
      </c>
      <c r="K206" s="3">
        <f>(LN(D206/G206)+H206^2*J206/2)/(H206*SQRT(J206))</f>
        <v>0.14082425687375963</v>
      </c>
      <c r="L206" s="3">
        <f>K206-H206*SQRT(J206)</f>
        <v>-0.26498723642675615</v>
      </c>
      <c r="M206" s="3">
        <f>EXP(-E206*J206)*(D206*_xlfn.NORM.DIST(K206,0,1,TRUE)-G206*_xlfn.NORM.DIST(L206,0,1,TRUE))</f>
        <v>1015.3076877752951</v>
      </c>
      <c r="N206" s="3">
        <f>EXP(-E206*J206)*(G206*_xlfn.NORM.DIST(-L206,0,1,TRUE)-D206*_xlfn.NORM.DIST(-K206,0,1,TRUE))</f>
        <v>1187.5470646121839</v>
      </c>
      <c r="O206" s="3" t="b">
        <f>(M206-N206)=EXP(-E206*J206)*(D206-G206)</f>
        <v>0</v>
      </c>
    </row>
    <row r="207" spans="1:15" x14ac:dyDescent="0.3">
      <c r="A207" s="1">
        <v>45987</v>
      </c>
      <c r="B207" t="s">
        <v>6</v>
      </c>
      <c r="C207">
        <v>6812.61</v>
      </c>
      <c r="D207">
        <v>7971.7455300000001</v>
      </c>
      <c r="E207" s="2">
        <v>3.2795294820291157E-2</v>
      </c>
      <c r="F207" s="1">
        <v>47837</v>
      </c>
      <c r="G207">
        <v>8856.393</v>
      </c>
      <c r="H207">
        <v>0.17011100000000001</v>
      </c>
      <c r="J207" s="3">
        <f t="shared" si="3"/>
        <v>5.0684931506849313</v>
      </c>
      <c r="K207" s="3">
        <f>(LN(D207/G207)+H207^2*J207/2)/(H207*SQRT(J207))</f>
        <v>-8.3296786594044048E-2</v>
      </c>
      <c r="L207" s="3">
        <f>K207-H207*SQRT(J207)</f>
        <v>-0.46627302532851894</v>
      </c>
      <c r="M207" s="3">
        <f>EXP(-E207*J207)*(D207*_xlfn.NORM.DIST(K207,0,1,TRUE)-G207*_xlfn.NORM.DIST(L207,0,1,TRUE))</f>
        <v>747.5296007777888</v>
      </c>
      <c r="N207" s="3">
        <f>EXP(-E207*J207)*(G207*_xlfn.NORM.DIST(-L207,0,1,TRUE)-D207*_xlfn.NORM.DIST(-K207,0,1,TRUE))</f>
        <v>1496.700029632424</v>
      </c>
      <c r="O207" s="3" t="b">
        <f>(M207-N207)=EXP(-E207*J207)*(D207-G207)</f>
        <v>1</v>
      </c>
    </row>
    <row r="208" spans="1:15" x14ac:dyDescent="0.3">
      <c r="A208" s="1">
        <v>45987</v>
      </c>
      <c r="B208" t="s">
        <v>6</v>
      </c>
      <c r="C208">
        <v>6812.61</v>
      </c>
      <c r="D208">
        <v>7971.7455300000001</v>
      </c>
      <c r="E208" s="2">
        <v>3.2795294820291157E-2</v>
      </c>
      <c r="F208" s="1">
        <v>47837</v>
      </c>
      <c r="G208">
        <v>9537.6539999999986</v>
      </c>
      <c r="H208">
        <v>0.16115199999999999</v>
      </c>
      <c r="J208" s="3">
        <f t="shared" si="3"/>
        <v>5.0684931506849313</v>
      </c>
      <c r="K208" s="3">
        <f>(LN(D208/G208)+H208^2*J208/2)/(H208*SQRT(J208))</f>
        <v>-0.31292091721666426</v>
      </c>
      <c r="L208" s="3">
        <f>K208-H208*SQRT(J208)</f>
        <v>-0.67572747778322428</v>
      </c>
      <c r="M208" s="3">
        <f>EXP(-E208*J208)*(D208*_xlfn.NORM.DIST(K208,0,1,TRUE)-G208*_xlfn.NORM.DIST(L208,0,1,TRUE))</f>
        <v>530.16886653532708</v>
      </c>
      <c r="N208" s="3">
        <f>EXP(-E208*J208)*(G208*_xlfn.NORM.DIST(-L208,0,1,TRUE)-D208*_xlfn.NORM.DIST(-K208,0,1,TRUE))</f>
        <v>1856.270347407708</v>
      </c>
      <c r="O208" s="3" t="b">
        <f>(M208-N208)=EXP(-E208*J208)*(D208-G208)</f>
        <v>1</v>
      </c>
    </row>
    <row r="209" spans="1:15" x14ac:dyDescent="0.3">
      <c r="A209" s="1">
        <v>45987</v>
      </c>
      <c r="B209" t="s">
        <v>6</v>
      </c>
      <c r="C209">
        <v>6812.61</v>
      </c>
      <c r="D209">
        <v>7971.7455300000001</v>
      </c>
      <c r="E209" s="2">
        <v>3.2795294820291157E-2</v>
      </c>
      <c r="F209" s="1">
        <v>47837</v>
      </c>
      <c r="G209">
        <v>10218.915000000001</v>
      </c>
      <c r="H209">
        <v>0.15345600000000001</v>
      </c>
      <c r="J209" s="3">
        <f t="shared" si="3"/>
        <v>5.0684931506849313</v>
      </c>
      <c r="K209" s="3">
        <f>(LN(D209/G209)+H209^2*J209/2)/(H209*SQRT(J209))</f>
        <v>-0.54607629459580675</v>
      </c>
      <c r="L209" s="3">
        <f>K209-H209*SQRT(J209)</f>
        <v>-0.89155660857454766</v>
      </c>
      <c r="M209" s="3">
        <f>EXP(-E209*J209)*(D209*_xlfn.NORM.DIST(K209,0,1,TRUE)-G209*_xlfn.NORM.DIST(L209,0,1,TRUE))</f>
        <v>362.32713403106834</v>
      </c>
      <c r="N209" s="3">
        <f>EXP(-E209*J209)*(G209*_xlfn.NORM.DIST(-L209,0,1,TRUE)-D209*_xlfn.NORM.DIST(-K209,0,1,TRUE))</f>
        <v>2265.3596669211965</v>
      </c>
      <c r="O209" s="3" t="b">
        <f>(M209-N209)=EXP(-E209*J209)*(D209-G209)</f>
        <v>1</v>
      </c>
    </row>
    <row r="210" spans="1:15" x14ac:dyDescent="0.3">
      <c r="A210" s="1">
        <v>45987</v>
      </c>
      <c r="B210" t="s">
        <v>6</v>
      </c>
      <c r="C210">
        <v>6812.61</v>
      </c>
      <c r="D210">
        <v>8296.3220999999994</v>
      </c>
      <c r="E210" s="2">
        <v>3.3385883738181028E-2</v>
      </c>
      <c r="F210" s="1">
        <v>48201</v>
      </c>
      <c r="G210">
        <v>3406.3049999999998</v>
      </c>
      <c r="H210">
        <v>0.28649799999999997</v>
      </c>
      <c r="J210" s="3">
        <f t="shared" si="3"/>
        <v>6.065753424657534</v>
      </c>
      <c r="K210" s="3">
        <f>(LN(D210/G210)+H210^2*J210/2)/(H210*SQRT(J210))</f>
        <v>1.6143875837420292</v>
      </c>
      <c r="L210" s="3">
        <f>K210-H210*SQRT(J210)</f>
        <v>0.90877881274216832</v>
      </c>
      <c r="M210" s="3">
        <f>EXP(-E210*J210)*(D210*_xlfn.NORM.DIST(K210,0,1,TRUE)-G210*_xlfn.NORM.DIST(L210,0,1,TRUE))</f>
        <v>4138.5252225336417</v>
      </c>
      <c r="N210" s="3">
        <f>EXP(-E210*J210)*(G210*_xlfn.NORM.DIST(-L210,0,1,TRUE)-D210*_xlfn.NORM.DIST(-K210,0,1,TRUE))</f>
        <v>144.95644421595404</v>
      </c>
      <c r="O210" s="3" t="b">
        <f>(M210-N210)=EXP(-E210*J210)*(D210-G210)</f>
        <v>1</v>
      </c>
    </row>
    <row r="211" spans="1:15" x14ac:dyDescent="0.3">
      <c r="A211" s="1">
        <v>45987</v>
      </c>
      <c r="B211" t="s">
        <v>6</v>
      </c>
      <c r="C211">
        <v>6812.61</v>
      </c>
      <c r="D211">
        <v>8296.3220999999994</v>
      </c>
      <c r="E211" s="2">
        <v>3.3385883738181028E-2</v>
      </c>
      <c r="F211" s="1">
        <v>48201</v>
      </c>
      <c r="G211">
        <v>4087.5659999999998</v>
      </c>
      <c r="H211">
        <v>0.26709899999999998</v>
      </c>
      <c r="J211" s="3">
        <f t="shared" si="3"/>
        <v>6.065753424657534</v>
      </c>
      <c r="K211" s="3">
        <f>(LN(D211/G211)+H211^2*J211/2)/(H211*SQRT(J211))</f>
        <v>1.4049703999002601</v>
      </c>
      <c r="L211" s="3">
        <f>K211-H211*SQRT(J211)</f>
        <v>0.74713894165171435</v>
      </c>
      <c r="M211" s="3">
        <f>EXP(-E211*J211)*(D211*_xlfn.NORM.DIST(K211,0,1,TRUE)-G211*_xlfn.NORM.DIST(L211,0,1,TRUE))</f>
        <v>3654.4745051330419</v>
      </c>
      <c r="N211" s="3">
        <f>EXP(-E211*J211)*(G211*_xlfn.NORM.DIST(-L211,0,1,TRUE)-D211*_xlfn.NORM.DIST(-K211,0,1,TRUE))</f>
        <v>217.27651322538216</v>
      </c>
      <c r="O211" s="3" t="b">
        <f>(M211-N211)=EXP(-E211*J211)*(D211-G211)</f>
        <v>1</v>
      </c>
    </row>
    <row r="212" spans="1:15" x14ac:dyDescent="0.3">
      <c r="A212" s="1">
        <v>45987</v>
      </c>
      <c r="B212" t="s">
        <v>6</v>
      </c>
      <c r="C212">
        <v>6812.61</v>
      </c>
      <c r="D212">
        <v>8296.3220999999994</v>
      </c>
      <c r="E212" s="2">
        <v>3.3385883738181028E-2</v>
      </c>
      <c r="F212" s="1">
        <v>48201</v>
      </c>
      <c r="G212">
        <v>4768.8269999999993</v>
      </c>
      <c r="H212">
        <v>0.25029600000000002</v>
      </c>
      <c r="J212" s="3">
        <f t="shared" si="3"/>
        <v>6.065753424657534</v>
      </c>
      <c r="K212" s="3">
        <f>(LN(D212/G212)+H212^2*J212/2)/(H212*SQRT(J212))</f>
        <v>1.2064539717868452</v>
      </c>
      <c r="L212" s="3">
        <f>K212-H212*SQRT(J212)</f>
        <v>0.59000620270580029</v>
      </c>
      <c r="M212" s="3">
        <f>EXP(-E212*J212)*(D212*_xlfn.NORM.DIST(K212,0,1,TRUE)-G212*_xlfn.NORM.DIST(L212,0,1,TRUE))</f>
        <v>3190.7535417814174</v>
      </c>
      <c r="N212" s="3">
        <f>EXP(-E212*J212)*(G212*_xlfn.NORM.DIST(-L212,0,1,TRUE)-D212*_xlfn.NORM.DIST(-K212,0,1,TRUE))</f>
        <v>309.92633628378576</v>
      </c>
      <c r="O212" s="3" t="b">
        <f>(M212-N212)=EXP(-E212*J212)*(D212-G212)</f>
        <v>1</v>
      </c>
    </row>
    <row r="213" spans="1:15" x14ac:dyDescent="0.3">
      <c r="A213" s="1">
        <v>45987</v>
      </c>
      <c r="B213" t="s">
        <v>6</v>
      </c>
      <c r="C213">
        <v>6812.61</v>
      </c>
      <c r="D213">
        <v>8296.3220999999994</v>
      </c>
      <c r="E213" s="2">
        <v>3.3385883738181028E-2</v>
      </c>
      <c r="F213" s="1">
        <v>48201</v>
      </c>
      <c r="G213">
        <v>5450.0879999999997</v>
      </c>
      <c r="H213">
        <v>0.23543300000000003</v>
      </c>
      <c r="J213" s="3">
        <f t="shared" si="3"/>
        <v>6.065753424657534</v>
      </c>
      <c r="K213" s="3">
        <f>(LN(D213/G213)+H213^2*J213/2)/(H213*SQRT(J213))</f>
        <v>1.0145675688818376</v>
      </c>
      <c r="L213" s="3">
        <f>K213-H213*SQRT(J213)</f>
        <v>0.43472551140565885</v>
      </c>
      <c r="M213" s="3">
        <f>EXP(-E213*J213)*(D213*_xlfn.NORM.DIST(K213,0,1,TRUE)-G213*_xlfn.NORM.DIST(L213,0,1,TRUE))</f>
        <v>2750.3993434341746</v>
      </c>
      <c r="N213" s="3">
        <f>EXP(-E213*J213)*(G213*_xlfn.NORM.DIST(-L213,0,1,TRUE)-D213*_xlfn.NORM.DIST(-K213,0,1,TRUE))</f>
        <v>425.94292434657262</v>
      </c>
      <c r="O213" s="3" t="b">
        <f>(M213-N213)=EXP(-E213*J213)*(D213-G213)</f>
        <v>1</v>
      </c>
    </row>
    <row r="214" spans="1:15" x14ac:dyDescent="0.3">
      <c r="A214" s="1">
        <v>45987</v>
      </c>
      <c r="B214" t="s">
        <v>6</v>
      </c>
      <c r="C214">
        <v>6812.61</v>
      </c>
      <c r="D214">
        <v>8296.3220999999994</v>
      </c>
      <c r="E214" s="2">
        <v>3.3385883738181028E-2</v>
      </c>
      <c r="F214" s="1">
        <v>48201</v>
      </c>
      <c r="G214">
        <v>6131.3490000000002</v>
      </c>
      <c r="H214">
        <v>0.22209300000000001</v>
      </c>
      <c r="J214" s="3">
        <f t="shared" si="3"/>
        <v>6.065753424657534</v>
      </c>
      <c r="K214" s="3">
        <f>(LN(D214/G214)+H214^2*J214/2)/(H214*SQRT(J214))</f>
        <v>0.82633556032184652</v>
      </c>
      <c r="L214" s="3">
        <f>K214-H214*SQRT(J214)</f>
        <v>0.27934825577636235</v>
      </c>
      <c r="M214" s="3">
        <f>EXP(-E214*J214)*(D214*_xlfn.NORM.DIST(K214,0,1,TRUE)-G214*_xlfn.NORM.DIST(L214,0,1,TRUE))</f>
        <v>2336.625455560285</v>
      </c>
      <c r="N214" s="3">
        <f>EXP(-E214*J214)*(G214*_xlfn.NORM.DIST(-L214,0,1,TRUE)-D214*_xlfn.NORM.DIST(-K214,0,1,TRUE))</f>
        <v>568.53982288271175</v>
      </c>
      <c r="O214" s="3" t="b">
        <f>(M214-N214)=EXP(-E214*J214)*(D214-G214)</f>
        <v>1</v>
      </c>
    </row>
    <row r="215" spans="1:15" x14ac:dyDescent="0.3">
      <c r="A215" s="1">
        <v>45987</v>
      </c>
      <c r="B215" t="s">
        <v>6</v>
      </c>
      <c r="C215">
        <v>6812.61</v>
      </c>
      <c r="D215">
        <v>8296.3220999999994</v>
      </c>
      <c r="E215" s="2">
        <v>3.3385883738181028E-2</v>
      </c>
      <c r="F215" s="1">
        <v>48201</v>
      </c>
      <c r="G215">
        <v>6471.9794999999995</v>
      </c>
      <c r="H215">
        <v>0.21590400000000001</v>
      </c>
      <c r="J215" s="3">
        <f t="shared" si="3"/>
        <v>6.065753424657534</v>
      </c>
      <c r="K215" s="3">
        <f>(LN(D215/G215)+H215^2*J215/2)/(H215*SQRT(J215))</f>
        <v>0.73288275895377886</v>
      </c>
      <c r="L215" s="3">
        <f>K215-H215*SQRT(J215)</f>
        <v>0.20113818798311245</v>
      </c>
      <c r="M215" s="3">
        <f>EXP(-E215*J215)*(D215*_xlfn.NORM.DIST(K215,0,1,TRUE)-G215*_xlfn.NORM.DIST(L215,0,1,TRUE))</f>
        <v>2140.735876302806</v>
      </c>
      <c r="N215" s="3">
        <f>EXP(-E215*J215)*(G215*_xlfn.NORM.DIST(-L215,0,1,TRUE)-D215*_xlfn.NORM.DIST(-K215,0,1,TRUE))</f>
        <v>650.83563683024499</v>
      </c>
      <c r="O215" s="3" t="b">
        <f>(M215-N215)=EXP(-E215*J215)*(D215-G215)</f>
        <v>1</v>
      </c>
    </row>
    <row r="216" spans="1:15" x14ac:dyDescent="0.3">
      <c r="A216" s="1">
        <v>45987</v>
      </c>
      <c r="B216" t="s">
        <v>6</v>
      </c>
      <c r="C216">
        <v>6812.61</v>
      </c>
      <c r="D216">
        <v>8296.3220999999994</v>
      </c>
      <c r="E216" s="2">
        <v>3.3385883738181028E-2</v>
      </c>
      <c r="F216" s="1">
        <v>48201</v>
      </c>
      <c r="G216">
        <v>6812.61</v>
      </c>
      <c r="H216">
        <v>0.21</v>
      </c>
      <c r="J216" s="3">
        <f t="shared" si="3"/>
        <v>6.065753424657534</v>
      </c>
      <c r="K216" s="3">
        <f>(LN(D216/G216)+H216^2*J216/2)/(H216*SQRT(J216))</f>
        <v>0.63956776829853368</v>
      </c>
      <c r="L216" s="3">
        <f>K216-H216*SQRT(J216)</f>
        <v>0.12236401151848353</v>
      </c>
      <c r="M216" s="3">
        <f>EXP(-E216*J216)*(D216*_xlfn.NORM.DIST(K216,0,1,TRUE)-G216*_xlfn.NORM.DIST(L216,0,1,TRUE))</f>
        <v>1952.7239416214113</v>
      </c>
      <c r="N216" s="3">
        <f>EXP(-E216*J216)*(G216*_xlfn.NORM.DIST(-L216,0,1,TRUE)-D216*_xlfn.NORM.DIST(-K216,0,1,TRUE))</f>
        <v>741.0090953538654</v>
      </c>
      <c r="O216" s="3" t="b">
        <f>(M216-N216)=EXP(-E216*J216)*(D216-G216)</f>
        <v>1</v>
      </c>
    </row>
    <row r="217" spans="1:15" x14ac:dyDescent="0.3">
      <c r="A217" s="1">
        <v>45987</v>
      </c>
      <c r="B217" t="s">
        <v>6</v>
      </c>
      <c r="C217">
        <v>6812.61</v>
      </c>
      <c r="D217">
        <v>8296.3220999999994</v>
      </c>
      <c r="E217" s="2">
        <v>3.3385883738181028E-2</v>
      </c>
      <c r="F217" s="1">
        <v>48201</v>
      </c>
      <c r="G217">
        <v>7153.240499999999</v>
      </c>
      <c r="H217">
        <v>0.20436099999999999</v>
      </c>
      <c r="J217" s="3">
        <f t="shared" si="3"/>
        <v>6.065753424657534</v>
      </c>
      <c r="K217" s="3">
        <f>(LN(D217/G217)+H217^2*J217/2)/(H217*SQRT(J217))</f>
        <v>0.54619829328987612</v>
      </c>
      <c r="L217" s="3">
        <f>K217-H217*SQRT(J217)</f>
        <v>4.2882688816886505E-2</v>
      </c>
      <c r="M217" s="3">
        <f>EXP(-E217*J217)*(D217*_xlfn.NORM.DIST(K217,0,1,TRUE)-G217*_xlfn.NORM.DIST(L217,0,1,TRUE))</f>
        <v>1772.9924628795336</v>
      </c>
      <c r="N217" s="3">
        <f>EXP(-E217*J217)*(G217*_xlfn.NORM.DIST(-L217,0,1,TRUE)-D217*_xlfn.NORM.DIST(-K217,0,1,TRUE))</f>
        <v>839.46300981700085</v>
      </c>
      <c r="O217" s="3" t="b">
        <f>(M217-N217)=EXP(-E217*J217)*(D217-G217)</f>
        <v>0</v>
      </c>
    </row>
    <row r="218" spans="1:15" x14ac:dyDescent="0.3">
      <c r="A218" s="1">
        <v>45987</v>
      </c>
      <c r="B218" t="s">
        <v>6</v>
      </c>
      <c r="C218">
        <v>6812.61</v>
      </c>
      <c r="D218">
        <v>8296.3220999999994</v>
      </c>
      <c r="E218" s="2">
        <v>3.3385883738181028E-2</v>
      </c>
      <c r="F218" s="1">
        <v>48201</v>
      </c>
      <c r="G218">
        <v>7493.8710000000001</v>
      </c>
      <c r="H218">
        <v>0.19897000000000001</v>
      </c>
      <c r="J218" s="3">
        <f t="shared" si="3"/>
        <v>6.065753424657534</v>
      </c>
      <c r="K218" s="3">
        <f>(LN(D218/G218)+H218^2*J218/2)/(H218*SQRT(J218))</f>
        <v>0.45260865394141048</v>
      </c>
      <c r="L218" s="3">
        <f>K218-H218*SQRT(J218)</f>
        <v>-3.7429591232525594E-2</v>
      </c>
      <c r="M218" s="3">
        <f>EXP(-E218*J218)*(D218*_xlfn.NORM.DIST(K218,0,1,TRUE)-G218*_xlfn.NORM.DIST(L218,0,1,TRUE))</f>
        <v>1601.9224748848699</v>
      </c>
      <c r="N218" s="3">
        <f>EXP(-E218*J218)*(G218*_xlfn.NORM.DIST(-L218,0,1,TRUE)-D218*_xlfn.NORM.DIST(-K218,0,1,TRUE))</f>
        <v>946.57841502735312</v>
      </c>
      <c r="O218" s="3" t="b">
        <f>(M218-N218)=EXP(-E218*J218)*(D218-G218)</f>
        <v>1</v>
      </c>
    </row>
    <row r="219" spans="1:15" x14ac:dyDescent="0.3">
      <c r="A219" s="1">
        <v>45987</v>
      </c>
      <c r="B219" t="s">
        <v>6</v>
      </c>
      <c r="C219">
        <v>6812.61</v>
      </c>
      <c r="D219">
        <v>8296.3220999999994</v>
      </c>
      <c r="E219" s="2">
        <v>3.3385883738181028E-2</v>
      </c>
      <c r="F219" s="1">
        <v>48201</v>
      </c>
      <c r="G219">
        <v>8175.1319999999996</v>
      </c>
      <c r="H219">
        <v>0.188884</v>
      </c>
      <c r="J219" s="3">
        <f t="shared" si="3"/>
        <v>6.065753424657534</v>
      </c>
      <c r="K219" s="3">
        <f>(LN(D219/G219)+H219^2*J219/2)/(H219*SQRT(J219))</f>
        <v>0.26423148743448949</v>
      </c>
      <c r="L219" s="3">
        <f>K219-H219*SQRT(J219)</f>
        <v>-0.20096620016381045</v>
      </c>
      <c r="M219" s="3">
        <f>EXP(-E219*J219)*(D219*_xlfn.NORM.DIST(K219,0,1,TRUE)-G219*_xlfn.NORM.DIST(L219,0,1,TRUE))</f>
        <v>1287.1761650801159</v>
      </c>
      <c r="N219" s="3">
        <f>EXP(-E219*J219)*(G219*_xlfn.NORM.DIST(-L219,0,1,TRUE)-D219*_xlfn.NORM.DIST(-K219,0,1,TRUE))</f>
        <v>1188.2028916326269</v>
      </c>
      <c r="O219" s="3" t="b">
        <f>(M219-N219)=EXP(-E219*J219)*(D219-G219)</f>
        <v>0</v>
      </c>
    </row>
    <row r="220" spans="1:15" x14ac:dyDescent="0.3">
      <c r="A220" s="1">
        <v>45987</v>
      </c>
      <c r="B220" t="s">
        <v>6</v>
      </c>
      <c r="C220">
        <v>6812.61</v>
      </c>
      <c r="D220">
        <v>8296.3220999999994</v>
      </c>
      <c r="E220" s="2">
        <v>3.3385883738181028E-2</v>
      </c>
      <c r="F220" s="1">
        <v>48201</v>
      </c>
      <c r="G220">
        <v>8856.393</v>
      </c>
      <c r="H220">
        <v>0.17967</v>
      </c>
      <c r="J220" s="3">
        <f t="shared" si="3"/>
        <v>6.065753424657534</v>
      </c>
      <c r="K220" s="3">
        <f>(LN(D220/G220)+H220^2*J220/2)/(H220*SQRT(J220))</f>
        <v>7.3621705722826336E-2</v>
      </c>
      <c r="L220" s="3">
        <f>K220-H220*SQRT(J220)</f>
        <v>-0.36888305132799082</v>
      </c>
      <c r="M220" s="3">
        <f>EXP(-E220*J220)*(D220*_xlfn.NORM.DIST(K220,0,1,TRUE)-G220*_xlfn.NORM.DIST(L220,0,1,TRUE))</f>
        <v>1010.8702391699014</v>
      </c>
      <c r="N220" s="3">
        <f>EXP(-E220*J220)*(G220*_xlfn.NORM.DIST(-L220,0,1,TRUE)-D220*_xlfn.NORM.DIST(-K220,0,1,TRUE))</f>
        <v>1468.267752132441</v>
      </c>
      <c r="O220" s="3" t="b">
        <f>(M220-N220)=EXP(-E220*J220)*(D220-G220)</f>
        <v>1</v>
      </c>
    </row>
    <row r="221" spans="1:15" x14ac:dyDescent="0.3">
      <c r="A221" s="1">
        <v>45987</v>
      </c>
      <c r="B221" t="s">
        <v>6</v>
      </c>
      <c r="C221">
        <v>6812.61</v>
      </c>
      <c r="D221">
        <v>8296.3220999999994</v>
      </c>
      <c r="E221" s="2">
        <v>3.3385883738181028E-2</v>
      </c>
      <c r="F221" s="1">
        <v>48201</v>
      </c>
      <c r="G221">
        <v>9537.6539999999986</v>
      </c>
      <c r="H221">
        <v>0.171295</v>
      </c>
      <c r="J221" s="3">
        <f t="shared" si="3"/>
        <v>6.065753424657534</v>
      </c>
      <c r="K221" s="3">
        <f>(LN(D221/G221)+H221^2*J221/2)/(H221*SQRT(J221))</f>
        <v>-0.11957159885216684</v>
      </c>
      <c r="L221" s="3">
        <f>K221-H221*SQRT(J221)</f>
        <v>-0.54144977750758916</v>
      </c>
      <c r="M221" s="3">
        <f>EXP(-E221*J221)*(D221*_xlfn.NORM.DIST(K221,0,1,TRUE)-G221*_xlfn.NORM.DIST(L221,0,1,TRUE))</f>
        <v>774.4857728923829</v>
      </c>
      <c r="N221" s="3">
        <f>EXP(-E221*J221)*(G221*_xlfn.NORM.DIST(-L221,0,1,TRUE)-D221*_xlfn.NORM.DIST(-K221,0,1,TRUE))</f>
        <v>1788.2540722649503</v>
      </c>
      <c r="O221" s="3" t="b">
        <f>(M221-N221)=EXP(-E221*J221)*(D221-G221)</f>
        <v>1</v>
      </c>
    </row>
    <row r="222" spans="1:15" x14ac:dyDescent="0.3">
      <c r="A222" s="1">
        <v>45987</v>
      </c>
      <c r="B222" t="s">
        <v>6</v>
      </c>
      <c r="C222">
        <v>6812.61</v>
      </c>
      <c r="D222">
        <v>8296.3220999999994</v>
      </c>
      <c r="E222" s="2">
        <v>3.3385883738181028E-2</v>
      </c>
      <c r="F222" s="1">
        <v>48201</v>
      </c>
      <c r="G222">
        <v>10218.915000000001</v>
      </c>
      <c r="H222">
        <v>0.16375299999999998</v>
      </c>
      <c r="J222" s="3">
        <f t="shared" si="3"/>
        <v>6.065753424657534</v>
      </c>
      <c r="K222" s="3">
        <f>(LN(D222/G222)+H222^2*J222/2)/(H222*SQRT(J222))</f>
        <v>-0.31515098546783138</v>
      </c>
      <c r="L222" s="3">
        <f>K222-H222*SQRT(J222)</f>
        <v>-0.71845416062975298</v>
      </c>
      <c r="M222" s="3">
        <f>EXP(-E222*J222)*(D222*_xlfn.NORM.DIST(K222,0,1,TRUE)-G222*_xlfn.NORM.DIST(L222,0,1,TRUE))</f>
        <v>578.20658961479523</v>
      </c>
      <c r="N222" s="3">
        <f>EXP(-E222*J222)*(G222*_xlfn.NORM.DIST(-L222,0,1,TRUE)-D222*_xlfn.NORM.DIST(-K222,0,1,TRUE))</f>
        <v>2148.3456753973933</v>
      </c>
      <c r="O222" s="3" t="b">
        <f>(M222-N222)=EXP(-E222*J222)*(D222-G222)</f>
        <v>1</v>
      </c>
    </row>
    <row r="223" spans="1:15" x14ac:dyDescent="0.3">
      <c r="A223" s="1">
        <v>45987</v>
      </c>
      <c r="B223" t="s">
        <v>6</v>
      </c>
      <c r="C223">
        <v>6812.61</v>
      </c>
      <c r="D223">
        <v>8643.0496600000006</v>
      </c>
      <c r="E223" s="2">
        <v>3.403612389416303E-2</v>
      </c>
      <c r="F223" s="1">
        <v>48565</v>
      </c>
      <c r="G223">
        <v>3406.3049999999998</v>
      </c>
      <c r="H223">
        <v>0.28351500000000002</v>
      </c>
      <c r="J223" s="3">
        <f t="shared" si="3"/>
        <v>7.0630136986301366</v>
      </c>
      <c r="K223" s="3">
        <f>(LN(D223/G223)+H223^2*J223/2)/(H223*SQRT(J223))</f>
        <v>1.6125104961776864</v>
      </c>
      <c r="L223" s="3">
        <f>K223-H223*SQRT(J223)</f>
        <v>0.85903164759571649</v>
      </c>
      <c r="M223" s="3">
        <f>EXP(-E223*J223)*(D223*_xlfn.NORM.DIST(K223,0,1,TRUE)-G223*_xlfn.NORM.DIST(L223,0,1,TRUE))</f>
        <v>4277.3700717322836</v>
      </c>
      <c r="N223" s="3">
        <f>EXP(-E223*J223)*(G223*_xlfn.NORM.DIST(-L223,0,1,TRUE)-D223*_xlfn.NORM.DIST(-K223,0,1,TRUE))</f>
        <v>159.63839488265415</v>
      </c>
      <c r="O223" s="3" t="b">
        <f>(M223-N223)=EXP(-E223*J223)*(D223-G223)</f>
        <v>1</v>
      </c>
    </row>
    <row r="224" spans="1:15" x14ac:dyDescent="0.3">
      <c r="A224" s="1">
        <v>45987</v>
      </c>
      <c r="B224" t="s">
        <v>6</v>
      </c>
      <c r="C224">
        <v>6812.61</v>
      </c>
      <c r="D224">
        <v>8643.0496600000006</v>
      </c>
      <c r="E224" s="2">
        <v>3.403612389416303E-2</v>
      </c>
      <c r="F224" s="1">
        <v>48565</v>
      </c>
      <c r="G224">
        <v>4087.5659999999998</v>
      </c>
      <c r="H224">
        <v>0.26616499999999998</v>
      </c>
      <c r="J224" s="3">
        <f t="shared" si="3"/>
        <v>7.0630136986301366</v>
      </c>
      <c r="K224" s="3">
        <f>(LN(D224/G224)+H224^2*J224/2)/(H224*SQRT(J224))</f>
        <v>1.4122633576879784</v>
      </c>
      <c r="L224" s="3">
        <f>K224-H224*SQRT(J224)</f>
        <v>0.7048944434054184</v>
      </c>
      <c r="M224" s="3">
        <f>EXP(-E224*J224)*(D224*_xlfn.NORM.DIST(K224,0,1,TRUE)-G224*_xlfn.NORM.DIST(L224,0,1,TRUE))</f>
        <v>3818.377893642587</v>
      </c>
      <c r="N224" s="3">
        <f>EXP(-E224*J224)*(G224*_xlfn.NORM.DIST(-L224,0,1,TRUE)-D224*_xlfn.NORM.DIST(-K224,0,1,TRUE))</f>
        <v>236.33206401970619</v>
      </c>
      <c r="O224" s="3" t="b">
        <f>(M224-N224)=EXP(-E224*J224)*(D224-G224)</f>
        <v>1</v>
      </c>
    </row>
    <row r="225" spans="1:15" x14ac:dyDescent="0.3">
      <c r="A225" s="1">
        <v>45987</v>
      </c>
      <c r="B225" t="s">
        <v>6</v>
      </c>
      <c r="C225">
        <v>6812.61</v>
      </c>
      <c r="D225">
        <v>8643.0496600000006</v>
      </c>
      <c r="E225" s="2">
        <v>3.403612389416303E-2</v>
      </c>
      <c r="F225" s="1">
        <v>48565</v>
      </c>
      <c r="G225">
        <v>4768.8269999999993</v>
      </c>
      <c r="H225">
        <v>0.251162</v>
      </c>
      <c r="J225" s="3">
        <f t="shared" si="3"/>
        <v>7.0630136986301366</v>
      </c>
      <c r="K225" s="3">
        <f>(LN(D225/G225)+H225^2*J225/2)/(H225*SQRT(J225))</f>
        <v>1.2246220724826271</v>
      </c>
      <c r="L225" s="3">
        <f>K225-H225*SQRT(J225)</f>
        <v>0.55712562761182771</v>
      </c>
      <c r="M225" s="3">
        <f>EXP(-E225*J225)*(D225*_xlfn.NORM.DIST(K225,0,1,TRUE)-G225*_xlfn.NORM.DIST(L225,0,1,TRUE))</f>
        <v>3378.9891803649712</v>
      </c>
      <c r="N225" s="3">
        <f>EXP(-E225*J225)*(G225*_xlfn.NORM.DIST(-L225,0,1,TRUE)-D225*_xlfn.NORM.DIST(-K225,0,1,TRUE))</f>
        <v>332.62919796884017</v>
      </c>
      <c r="O225" s="3" t="b">
        <f>(M225-N225)=EXP(-E225*J225)*(D225-G225)</f>
        <v>1</v>
      </c>
    </row>
    <row r="226" spans="1:15" x14ac:dyDescent="0.3">
      <c r="A226" s="1">
        <v>45987</v>
      </c>
      <c r="B226" t="s">
        <v>6</v>
      </c>
      <c r="C226">
        <v>6812.61</v>
      </c>
      <c r="D226">
        <v>8643.0496600000006</v>
      </c>
      <c r="E226" s="2">
        <v>3.403612389416303E-2</v>
      </c>
      <c r="F226" s="1">
        <v>48565</v>
      </c>
      <c r="G226">
        <v>5450.0879999999997</v>
      </c>
      <c r="H226">
        <v>0.23790700000000001</v>
      </c>
      <c r="J226" s="3">
        <f t="shared" si="3"/>
        <v>7.0630136986301366</v>
      </c>
      <c r="K226" s="3">
        <f>(LN(D226/G226)+H226^2*J226/2)/(H226*SQRT(J226))</f>
        <v>1.0454499037814611</v>
      </c>
      <c r="L226" s="3">
        <f>K226-H226*SQRT(J226)</f>
        <v>0.41318038566217041</v>
      </c>
      <c r="M226" s="3">
        <f>EXP(-E226*J226)*(D226*_xlfn.NORM.DIST(K226,0,1,TRUE)-G226*_xlfn.NORM.DIST(L226,0,1,TRUE))</f>
        <v>2961.4100865745904</v>
      </c>
      <c r="N226" s="3">
        <f>EXP(-E226*J226)*(G226*_xlfn.NORM.DIST(-L226,0,1,TRUE)-D226*_xlfn.NORM.DIST(-K226,0,1,TRUE))</f>
        <v>450.73595140520814</v>
      </c>
      <c r="O226" s="3" t="b">
        <f>(M226-N226)=EXP(-E226*J226)*(D226-G226)</f>
        <v>1</v>
      </c>
    </row>
    <row r="227" spans="1:15" x14ac:dyDescent="0.3">
      <c r="A227" s="1">
        <v>45987</v>
      </c>
      <c r="B227" t="s">
        <v>6</v>
      </c>
      <c r="C227">
        <v>6812.61</v>
      </c>
      <c r="D227">
        <v>8643.0496600000006</v>
      </c>
      <c r="E227" s="2">
        <v>3.403612389416303E-2</v>
      </c>
      <c r="F227" s="1">
        <v>48565</v>
      </c>
      <c r="G227">
        <v>6131.3490000000002</v>
      </c>
      <c r="H227">
        <v>0.22601599999999997</v>
      </c>
      <c r="J227" s="3">
        <f t="shared" si="3"/>
        <v>7.0630136986301366</v>
      </c>
      <c r="K227" s="3">
        <f>(LN(D227/G227)+H227^2*J227/2)/(H227*SQRT(J227))</f>
        <v>0.87193229917427728</v>
      </c>
      <c r="L227" s="3">
        <f>K227-H227*SQRT(J227)</f>
        <v>0.27126469625696259</v>
      </c>
      <c r="M227" s="3">
        <f>EXP(-E227*J227)*(D227*_xlfn.NORM.DIST(K227,0,1,TRUE)-G227*_xlfn.NORM.DIST(L227,0,1,TRUE))</f>
        <v>2567.8626063881948</v>
      </c>
      <c r="N227" s="3">
        <f>EXP(-E227*J227)*(G227*_xlfn.NORM.DIST(-L227,0,1,TRUE)-D227*_xlfn.NORM.DIST(-K227,0,1,TRUE))</f>
        <v>592.87431844556249</v>
      </c>
      <c r="O227" s="3" t="b">
        <f>(M227-N227)=EXP(-E227*J227)*(D227-G227)</f>
        <v>1</v>
      </c>
    </row>
    <row r="228" spans="1:15" x14ac:dyDescent="0.3">
      <c r="A228" s="1">
        <v>45987</v>
      </c>
      <c r="B228" t="s">
        <v>6</v>
      </c>
      <c r="C228">
        <v>6812.61</v>
      </c>
      <c r="D228">
        <v>8643.0496600000006</v>
      </c>
      <c r="E228" s="2">
        <v>3.403612389416303E-2</v>
      </c>
      <c r="F228" s="1">
        <v>48565</v>
      </c>
      <c r="G228">
        <v>6471.9794999999995</v>
      </c>
      <c r="H228">
        <v>0.220498</v>
      </c>
      <c r="J228" s="3">
        <f t="shared" si="3"/>
        <v>7.0630136986301366</v>
      </c>
      <c r="K228" s="3">
        <f>(LN(D228/G228)+H228^2*J228/2)/(H228*SQRT(J228))</f>
        <v>0.78663979473266898</v>
      </c>
      <c r="L228" s="3">
        <f>K228-H228*SQRT(J228)</f>
        <v>0.20063701126573719</v>
      </c>
      <c r="M228" s="3">
        <f>EXP(-E228*J228)*(D228*_xlfn.NORM.DIST(K228,0,1,TRUE)-G228*_xlfn.NORM.DIST(L228,0,1,TRUE))</f>
        <v>2380.7845549601057</v>
      </c>
      <c r="N228" s="3">
        <f>EXP(-E228*J228)*(G228*_xlfn.NORM.DIST(-L228,0,1,TRUE)-D228*_xlfn.NORM.DIST(-K228,0,1,TRUE))</f>
        <v>673.63919063084825</v>
      </c>
      <c r="O228" s="3" t="b">
        <f>(M228-N228)=EXP(-E228*J228)*(D228-G228)</f>
        <v>1</v>
      </c>
    </row>
    <row r="229" spans="1:15" x14ac:dyDescent="0.3">
      <c r="A229" s="1">
        <v>45987</v>
      </c>
      <c r="B229" t="s">
        <v>6</v>
      </c>
      <c r="C229">
        <v>6812.61</v>
      </c>
      <c r="D229">
        <v>8643.0496600000006</v>
      </c>
      <c r="E229" s="2">
        <v>3.403612389416303E-2</v>
      </c>
      <c r="F229" s="1">
        <v>48565</v>
      </c>
      <c r="G229">
        <v>6812.61</v>
      </c>
      <c r="H229">
        <v>0.21523100000000001</v>
      </c>
      <c r="J229" s="3">
        <f t="shared" si="3"/>
        <v>7.0630136986301366</v>
      </c>
      <c r="K229" s="3">
        <f>(LN(D229/G229)+H229^2*J229/2)/(H229*SQRT(J229))</f>
        <v>0.70204812880504852</v>
      </c>
      <c r="L229" s="3">
        <f>K229-H229*SQRT(J229)</f>
        <v>0.13004309888019117</v>
      </c>
      <c r="M229" s="3">
        <f>EXP(-E229*J229)*(D229*_xlfn.NORM.DIST(K229,0,1,TRUE)-G229*_xlfn.NORM.DIST(L229,0,1,TRUE))</f>
        <v>2200.5201983301204</v>
      </c>
      <c r="N229" s="3">
        <f>EXP(-E229*J229)*(G229*_xlfn.NORM.DIST(-L229,0,1,TRUE)-D229*_xlfn.NORM.DIST(-K229,0,1,TRUE))</f>
        <v>761.21775761423658</v>
      </c>
      <c r="O229" s="3" t="b">
        <f>(M229-N229)=EXP(-E229*J229)*(D229-G229)</f>
        <v>1</v>
      </c>
    </row>
    <row r="230" spans="1:15" x14ac:dyDescent="0.3">
      <c r="A230" s="1">
        <v>45987</v>
      </c>
      <c r="B230" t="s">
        <v>6</v>
      </c>
      <c r="C230">
        <v>6812.61</v>
      </c>
      <c r="D230">
        <v>8643.0496600000006</v>
      </c>
      <c r="E230" s="2">
        <v>3.403612389416303E-2</v>
      </c>
      <c r="F230" s="1">
        <v>48565</v>
      </c>
      <c r="G230">
        <v>7153.240499999999</v>
      </c>
      <c r="H230">
        <v>0.21019500000000002</v>
      </c>
      <c r="J230" s="3">
        <f t="shared" si="3"/>
        <v>7.0630136986301366</v>
      </c>
      <c r="K230" s="3">
        <f>(LN(D230/G230)+H230^2*J230/2)/(H230*SQRT(J230))</f>
        <v>0.617983783621328</v>
      </c>
      <c r="L230" s="3">
        <f>K230-H230*SQRT(J230)</f>
        <v>5.9362593992253188E-2</v>
      </c>
      <c r="M230" s="3">
        <f>EXP(-E230*J230)*(D230*_xlfn.NORM.DIST(K230,0,1,TRUE)-G230*_xlfn.NORM.DIST(L230,0,1,TRUE))</f>
        <v>2027.3203353091576</v>
      </c>
      <c r="N230" s="3">
        <f>EXP(-E230*J230)*(G230*_xlfn.NORM.DIST(-L230,0,1,TRUE)-D230*_xlfn.NORM.DIST(-K230,0,1,TRUE))</f>
        <v>855.8608182066481</v>
      </c>
      <c r="O230" s="3" t="b">
        <f>(M230-N230)=EXP(-E230*J230)*(D230-G230)</f>
        <v>1</v>
      </c>
    </row>
    <row r="231" spans="1:15" x14ac:dyDescent="0.3">
      <c r="A231" s="1">
        <v>45987</v>
      </c>
      <c r="B231" t="s">
        <v>6</v>
      </c>
      <c r="C231">
        <v>6812.61</v>
      </c>
      <c r="D231">
        <v>8643.0496600000006</v>
      </c>
      <c r="E231" s="2">
        <v>3.403612389416303E-2</v>
      </c>
      <c r="F231" s="1">
        <v>48565</v>
      </c>
      <c r="G231">
        <v>7493.8710000000001</v>
      </c>
      <c r="H231">
        <v>0.205372</v>
      </c>
      <c r="J231" s="3">
        <f t="shared" si="3"/>
        <v>7.0630136986301366</v>
      </c>
      <c r="K231" s="3">
        <f>(LN(D231/G231)+H231^2*J231/2)/(H231*SQRT(J231))</f>
        <v>0.53429619531025929</v>
      </c>
      <c r="L231" s="3">
        <f>K231-H231*SQRT(J231)</f>
        <v>-1.1507229873509828E-2</v>
      </c>
      <c r="M231" s="3">
        <f>EXP(-E231*J231)*(D231*_xlfn.NORM.DIST(K231,0,1,TRUE)-G231*_xlfn.NORM.DIST(L231,0,1,TRUE))</f>
        <v>1861.4132099664303</v>
      </c>
      <c r="N231" s="3">
        <f>EXP(-E231*J231)*(G231*_xlfn.NORM.DIST(-L231,0,1,TRUE)-D231*_xlfn.NORM.DIST(-K231,0,1,TRUE))</f>
        <v>957.79661647729699</v>
      </c>
      <c r="O231" s="3" t="b">
        <f>(M231-N231)=EXP(-E231*J231)*(D231-G231)</f>
        <v>0</v>
      </c>
    </row>
    <row r="232" spans="1:15" x14ac:dyDescent="0.3">
      <c r="A232" s="1">
        <v>45987</v>
      </c>
      <c r="B232" t="s">
        <v>6</v>
      </c>
      <c r="C232">
        <v>6812.61</v>
      </c>
      <c r="D232">
        <v>8643.0496600000006</v>
      </c>
      <c r="E232" s="2">
        <v>3.403612389416303E-2</v>
      </c>
      <c r="F232" s="1">
        <v>48565</v>
      </c>
      <c r="G232">
        <v>8175.1319999999996</v>
      </c>
      <c r="H232">
        <v>0.19631100000000001</v>
      </c>
      <c r="J232" s="3">
        <f t="shared" si="3"/>
        <v>7.0630136986301366</v>
      </c>
      <c r="K232" s="3">
        <f>(LN(D232/G232)+H232^2*J232/2)/(H232*SQRT(J232))</f>
        <v>0.36754371858697382</v>
      </c>
      <c r="L232" s="3">
        <f>K232-H232*SQRT(J232)</f>
        <v>-0.1541788930701698</v>
      </c>
      <c r="M232" s="3">
        <f>EXP(-E232*J232)*(D232*_xlfn.NORM.DIST(K232,0,1,TRUE)-G232*_xlfn.NORM.DIST(L232,0,1,TRUE))</f>
        <v>1552.3187671863423</v>
      </c>
      <c r="N232" s="3">
        <f>EXP(-E232*J232)*(G232*_xlfn.NORM.DIST(-L232,0,1,TRUE)-D232*_xlfn.NORM.DIST(-K232,0,1,TRUE))</f>
        <v>1184.3880209239571</v>
      </c>
      <c r="O232" s="3" t="b">
        <f>(M232-N232)=EXP(-E232*J232)*(D232-G232)</f>
        <v>1</v>
      </c>
    </row>
    <row r="233" spans="1:15" x14ac:dyDescent="0.3">
      <c r="A233" s="1">
        <v>45987</v>
      </c>
      <c r="B233" t="s">
        <v>6</v>
      </c>
      <c r="C233">
        <v>6812.61</v>
      </c>
      <c r="D233">
        <v>8643.0496600000006</v>
      </c>
      <c r="E233" s="2">
        <v>3.403612389416303E-2</v>
      </c>
      <c r="F233" s="1">
        <v>48565</v>
      </c>
      <c r="G233">
        <v>8856.393</v>
      </c>
      <c r="H233">
        <v>0.18796199999999999</v>
      </c>
      <c r="J233" s="3">
        <f t="shared" si="3"/>
        <v>7.0630136986301366</v>
      </c>
      <c r="K233" s="3">
        <f>(LN(D233/G233)+H233^2*J233/2)/(H233*SQRT(J233))</f>
        <v>0.20095336399416444</v>
      </c>
      <c r="L233" s="3">
        <f>K233-H233*SQRT(J233)</f>
        <v>-0.29858066890414503</v>
      </c>
      <c r="M233" s="3">
        <f>EXP(-E233*J233)*(D233*_xlfn.NORM.DIST(K233,0,1,TRUE)-G233*_xlfn.NORM.DIST(L233,0,1,TRUE))</f>
        <v>1274.6723601174049</v>
      </c>
      <c r="N233" s="3">
        <f>EXP(-E233*J233)*(G233*_xlfn.NORM.DIST(-L233,0,1,TRUE)-D233*_xlfn.NORM.DIST(-K233,0,1,TRUE))</f>
        <v>1442.4274610817699</v>
      </c>
      <c r="O233" s="3" t="b">
        <f>(M233-N233)=EXP(-E233*J233)*(D233-G233)</f>
        <v>1</v>
      </c>
    </row>
    <row r="234" spans="1:15" x14ac:dyDescent="0.3">
      <c r="A234" s="1">
        <v>45987</v>
      </c>
      <c r="B234" t="s">
        <v>6</v>
      </c>
      <c r="C234">
        <v>6812.61</v>
      </c>
      <c r="D234">
        <v>8643.0496600000006</v>
      </c>
      <c r="E234" s="2">
        <v>3.403612389416303E-2</v>
      </c>
      <c r="F234" s="1">
        <v>48565</v>
      </c>
      <c r="G234">
        <v>9537.6539999999986</v>
      </c>
      <c r="H234">
        <v>0.18026400000000004</v>
      </c>
      <c r="J234" s="3">
        <f t="shared" si="3"/>
        <v>7.0630136986301366</v>
      </c>
      <c r="K234" s="3">
        <f>(LN(D234/G234)+H234^2*J234/2)/(H234*SQRT(J234))</f>
        <v>3.3950070808197064E-2</v>
      </c>
      <c r="L234" s="3">
        <f>K234-H234*SQRT(J234)</f>
        <v>-0.445125502479919</v>
      </c>
      <c r="M234" s="3">
        <f>EXP(-E234*J234)*(D234*_xlfn.NORM.DIST(K234,0,1,TRUE)-G234*_xlfn.NORM.DIST(L234,0,1,TRUE))</f>
        <v>1029.3824474328201</v>
      </c>
      <c r="N234" s="3">
        <f>EXP(-E234*J234)*(G234*_xlfn.NORM.DIST(-L234,0,1,TRUE)-D234*_xlfn.NORM.DIST(-K234,0,1,TRUE))</f>
        <v>1732.8233956239335</v>
      </c>
      <c r="O234" s="3" t="b">
        <f>(M234-N234)=EXP(-E234*J234)*(D234-G234)</f>
        <v>1</v>
      </c>
    </row>
    <row r="235" spans="1:15" x14ac:dyDescent="0.3">
      <c r="A235" s="1">
        <v>45987</v>
      </c>
      <c r="B235" t="s">
        <v>6</v>
      </c>
      <c r="C235">
        <v>6812.61</v>
      </c>
      <c r="D235">
        <v>8643.0496600000006</v>
      </c>
      <c r="E235" s="2">
        <v>3.403612389416303E-2</v>
      </c>
      <c r="F235" s="1">
        <v>48565</v>
      </c>
      <c r="G235">
        <v>10218.915000000001</v>
      </c>
      <c r="H235">
        <v>0.17317799999999997</v>
      </c>
      <c r="J235" s="3">
        <f t="shared" si="3"/>
        <v>7.0630136986301366</v>
      </c>
      <c r="K235" s="3">
        <f>(LN(D235/G235)+H235^2*J235/2)/(H235*SQRT(J235))</f>
        <v>-0.13378316932894727</v>
      </c>
      <c r="L235" s="3">
        <f>K235-H235*SQRT(J235)</f>
        <v>-0.59402675446457798</v>
      </c>
      <c r="M235" s="3">
        <f>EXP(-E235*J235)*(D235*_xlfn.NORM.DIST(K235,0,1,TRUE)-G235*_xlfn.NORM.DIST(L235,0,1,TRUE))</f>
        <v>816.71146776652563</v>
      </c>
      <c r="N235" s="3">
        <f>EXP(-E235*J235)*(G235*_xlfn.NORM.DIST(-L235,0,1,TRUE)-D235*_xlfn.NORM.DIST(-K235,0,1,TRUE))</f>
        <v>2055.8382631843892</v>
      </c>
      <c r="O235" s="3" t="b">
        <f>(M235-N235)=EXP(-E235*J235)*(D235-G235)</f>
        <v>1</v>
      </c>
    </row>
    <row r="236" spans="1:15" x14ac:dyDescent="0.3">
      <c r="A236" s="1">
        <v>45987</v>
      </c>
      <c r="B236" t="s">
        <v>6</v>
      </c>
      <c r="C236">
        <v>6812.61</v>
      </c>
      <c r="D236">
        <v>9008.7739099999999</v>
      </c>
      <c r="E236" s="2">
        <v>3.4720756144946463E-2</v>
      </c>
      <c r="F236" s="1">
        <v>48929</v>
      </c>
      <c r="G236">
        <v>3406.3049999999998</v>
      </c>
      <c r="H236">
        <v>0.281555</v>
      </c>
      <c r="J236" s="3">
        <f t="shared" si="3"/>
        <v>8.0602739726027401</v>
      </c>
      <c r="K236" s="3">
        <f>(LN(D236/G236)+H236^2*J236/2)/(H236*SQRT(J236))</f>
        <v>1.6163749444052953</v>
      </c>
      <c r="L236" s="3">
        <f>K236-H236*SQRT(J236)</f>
        <v>0.81702279674359668</v>
      </c>
      <c r="M236" s="3">
        <f>EXP(-E236*J236)*(D236*_xlfn.NORM.DIST(K236,0,1,TRUE)-G236*_xlfn.NORM.DIST(L236,0,1,TRUE))</f>
        <v>4406.7696940491969</v>
      </c>
      <c r="N236" s="3">
        <f>EXP(-E236*J236)*(G236*_xlfn.NORM.DIST(-L236,0,1,TRUE)-D236*_xlfn.NORM.DIST(-K236,0,1,TRUE))</f>
        <v>171.91689076988578</v>
      </c>
      <c r="O236" s="3" t="b">
        <f>(M236-N236)=EXP(-E236*J236)*(D236-G236)</f>
        <v>1</v>
      </c>
    </row>
    <row r="237" spans="1:15" x14ac:dyDescent="0.3">
      <c r="A237" s="1">
        <v>45987</v>
      </c>
      <c r="B237" t="s">
        <v>6</v>
      </c>
      <c r="C237">
        <v>6812.61</v>
      </c>
      <c r="D237">
        <v>9008.7739099999999</v>
      </c>
      <c r="E237" s="2">
        <v>3.4720756144946463E-2</v>
      </c>
      <c r="F237" s="1">
        <v>48929</v>
      </c>
      <c r="G237">
        <v>4087.5659999999998</v>
      </c>
      <c r="H237">
        <v>0.265959</v>
      </c>
      <c r="J237" s="3">
        <f t="shared" si="3"/>
        <v>8.0602739726027401</v>
      </c>
      <c r="K237" s="3">
        <f>(LN(D237/G237)+H237^2*J237/2)/(H237*SQRT(J237))</f>
        <v>1.4241221144471015</v>
      </c>
      <c r="L237" s="3">
        <f>K237-H237*SQRT(J237)</f>
        <v>0.66904798029939427</v>
      </c>
      <c r="M237" s="3">
        <f>EXP(-E237*J237)*(D237*_xlfn.NORM.DIST(K237,0,1,TRUE)-G237*_xlfn.NORM.DIST(L237,0,1,TRUE))</f>
        <v>3971.9423736731069</v>
      </c>
      <c r="N237" s="3">
        <f>EXP(-E237*J237)*(G237*_xlfn.NORM.DIST(-L237,0,1,TRUE)-D237*_xlfn.NORM.DIST(-K237,0,1,TRUE))</f>
        <v>252.04826127832365</v>
      </c>
      <c r="O237" s="3" t="b">
        <f>(M237-N237)=EXP(-E237*J237)*(D237-G237)</f>
        <v>1</v>
      </c>
    </row>
    <row r="238" spans="1:15" x14ac:dyDescent="0.3">
      <c r="A238" s="1">
        <v>45987</v>
      </c>
      <c r="B238" t="s">
        <v>6</v>
      </c>
      <c r="C238">
        <v>6812.61</v>
      </c>
      <c r="D238">
        <v>9008.7739099999999</v>
      </c>
      <c r="E238" s="2">
        <v>3.4720756144946463E-2</v>
      </c>
      <c r="F238" s="1">
        <v>48929</v>
      </c>
      <c r="G238">
        <v>4768.8269999999993</v>
      </c>
      <c r="H238">
        <v>0.25247599999999998</v>
      </c>
      <c r="J238" s="3">
        <f t="shared" si="3"/>
        <v>8.0602739726027401</v>
      </c>
      <c r="K238" s="3">
        <f>(LN(D238/G238)+H238^2*J238/2)/(H238*SQRT(J238))</f>
        <v>1.245818014128375</v>
      </c>
      <c r="L238" s="3">
        <f>K238-H238*SQRT(J238)</f>
        <v>0.52902295514155184</v>
      </c>
      <c r="M238" s="3">
        <f>EXP(-E238*J238)*(D238*_xlfn.NORM.DIST(K238,0,1,TRUE)-G238*_xlfn.NORM.DIST(L238,0,1,TRUE))</f>
        <v>3555.9096151777526</v>
      </c>
      <c r="N238" s="3">
        <f>EXP(-E238*J238)*(G238*_xlfn.NORM.DIST(-L238,0,1,TRUE)-D238*_xlfn.NORM.DIST(-K238,0,1,TRUE))</f>
        <v>350.97419366749671</v>
      </c>
      <c r="O238" s="3" t="b">
        <f>(M238-N238)=EXP(-E238*J238)*(D238-G238)</f>
        <v>1</v>
      </c>
    </row>
    <row r="239" spans="1:15" x14ac:dyDescent="0.3">
      <c r="A239" s="1">
        <v>45987</v>
      </c>
      <c r="B239" t="s">
        <v>6</v>
      </c>
      <c r="C239">
        <v>6812.61</v>
      </c>
      <c r="D239">
        <v>9008.7739099999999</v>
      </c>
      <c r="E239" s="2">
        <v>3.4720756144946463E-2</v>
      </c>
      <c r="F239" s="1">
        <v>48929</v>
      </c>
      <c r="G239">
        <v>5450.0879999999997</v>
      </c>
      <c r="H239">
        <v>0.24056</v>
      </c>
      <c r="J239" s="3">
        <f t="shared" si="3"/>
        <v>8.0602739726027401</v>
      </c>
      <c r="K239" s="3">
        <f>(LN(D239/G239)+H239^2*J239/2)/(H239*SQRT(J239))</f>
        <v>1.0773434989587984</v>
      </c>
      <c r="L239" s="3">
        <f>K239-H239*SQRT(J239)</f>
        <v>0.39437870472144443</v>
      </c>
      <c r="M239" s="3">
        <f>EXP(-E239*J239)*(D239*_xlfn.NORM.DIST(K239,0,1,TRUE)-G239*_xlfn.NORM.DIST(L239,0,1,TRUE))</f>
        <v>3160.1950694273269</v>
      </c>
      <c r="N239" s="3">
        <f>EXP(-E239*J239)*(G239*_xlfn.NORM.DIST(-L239,0,1,TRUE)-D239*_xlfn.NORM.DIST(-K239,0,1,TRUE))</f>
        <v>470.21833880159892</v>
      </c>
      <c r="O239" s="3" t="b">
        <f>(M239-N239)=EXP(-E239*J239)*(D239-G239)</f>
        <v>1</v>
      </c>
    </row>
    <row r="240" spans="1:15" x14ac:dyDescent="0.3">
      <c r="A240" s="1">
        <v>45987</v>
      </c>
      <c r="B240" t="s">
        <v>6</v>
      </c>
      <c r="C240">
        <v>6812.61</v>
      </c>
      <c r="D240">
        <v>9008.7739099999999</v>
      </c>
      <c r="E240" s="2">
        <v>3.4720756144946463E-2</v>
      </c>
      <c r="F240" s="1">
        <v>48929</v>
      </c>
      <c r="G240">
        <v>6131.3490000000002</v>
      </c>
      <c r="H240">
        <v>0.22986000000000001</v>
      </c>
      <c r="J240" s="3">
        <f t="shared" si="3"/>
        <v>8.0602739726027401</v>
      </c>
      <c r="K240" s="3">
        <f>(LN(D240/G240)+H240^2*J240/2)/(H240*SQRT(J240))</f>
        <v>0.9159225231931446</v>
      </c>
      <c r="L240" s="3">
        <f>K240-H240*SQRT(J240)</f>
        <v>0.26333569411350466</v>
      </c>
      <c r="M240" s="3">
        <f>EXP(-E240*J240)*(D240*_xlfn.NORM.DIST(K240,0,1,TRUE)-G240*_xlfn.NORM.DIST(L240,0,1,TRUE))</f>
        <v>2786.2665965014698</v>
      </c>
      <c r="N240" s="3">
        <f>EXP(-E240*J240)*(G240*_xlfn.NORM.DIST(-L240,0,1,TRUE)-D240*_xlfn.NORM.DIST(-K240,0,1,TRUE))</f>
        <v>611.24855676026925</v>
      </c>
      <c r="O240" s="3" t="b">
        <f>(M240-N240)=EXP(-E240*J240)*(D240-G240)</f>
        <v>1</v>
      </c>
    </row>
    <row r="241" spans="1:15" x14ac:dyDescent="0.3">
      <c r="A241" s="1">
        <v>45987</v>
      </c>
      <c r="B241" t="s">
        <v>6</v>
      </c>
      <c r="C241">
        <v>6812.61</v>
      </c>
      <c r="D241">
        <v>9008.7739099999999</v>
      </c>
      <c r="E241" s="2">
        <v>3.4720756144946463E-2</v>
      </c>
      <c r="F241" s="1">
        <v>48929</v>
      </c>
      <c r="G241">
        <v>6471.9794999999995</v>
      </c>
      <c r="H241">
        <v>0.224888</v>
      </c>
      <c r="J241" s="3">
        <f t="shared" si="3"/>
        <v>8.0602739726027401</v>
      </c>
      <c r="K241" s="3">
        <f>(LN(D241/G241)+H241^2*J241/2)/(H241*SQRT(J241))</f>
        <v>0.83721825363189262</v>
      </c>
      <c r="L241" s="3">
        <f>K241-H241*SQRT(J241)</f>
        <v>0.19874724163301472</v>
      </c>
      <c r="M241" s="3">
        <f>EXP(-E241*J241)*(D241*_xlfn.NORM.DIST(K241,0,1,TRUE)-G241*_xlfn.NORM.DIST(L241,0,1,TRUE))</f>
        <v>2607.9034865694011</v>
      </c>
      <c r="N241" s="3">
        <f>EXP(-E241*J241)*(G241*_xlfn.NORM.DIST(-L241,0,1,TRUE)-D241*_xlfn.NORM.DIST(-K241,0,1,TRUE))</f>
        <v>690.36479227046414</v>
      </c>
      <c r="O241" s="3" t="b">
        <f>(M241-N241)=EXP(-E241*J241)*(D241-G241)</f>
        <v>1</v>
      </c>
    </row>
    <row r="242" spans="1:15" x14ac:dyDescent="0.3">
      <c r="A242" s="1">
        <v>45987</v>
      </c>
      <c r="B242" t="s">
        <v>6</v>
      </c>
      <c r="C242">
        <v>6812.61</v>
      </c>
      <c r="D242">
        <v>9008.7739099999999</v>
      </c>
      <c r="E242" s="2">
        <v>3.4720756144946463E-2</v>
      </c>
      <c r="F242" s="1">
        <v>48929</v>
      </c>
      <c r="G242">
        <v>6812.61</v>
      </c>
      <c r="H242">
        <v>0.220135</v>
      </c>
      <c r="J242" s="3">
        <f t="shared" si="3"/>
        <v>8.0602739726027401</v>
      </c>
      <c r="K242" s="3">
        <f>(LN(D242/G242)+H242^2*J242/2)/(H242*SQRT(J242))</f>
        <v>0.75958284344716365</v>
      </c>
      <c r="L242" s="3">
        <f>K242-H242*SQRT(J242)</f>
        <v>0.13460589391507216</v>
      </c>
      <c r="M242" s="3">
        <f>EXP(-E242*J242)*(D242*_xlfn.NORM.DIST(K242,0,1,TRUE)-G242*_xlfn.NORM.DIST(L242,0,1,TRUE))</f>
        <v>2435.4809908797743</v>
      </c>
      <c r="N242" s="3">
        <f>EXP(-E242*J242)*(G242*_xlfn.NORM.DIST(-L242,0,1,TRUE)-D242*_xlfn.NORM.DIST(-K242,0,1,TRUE))</f>
        <v>775.42164202310107</v>
      </c>
      <c r="O242" s="3" t="b">
        <f>(M242-N242)=EXP(-E242*J242)*(D242-G242)</f>
        <v>1</v>
      </c>
    </row>
    <row r="243" spans="1:15" x14ac:dyDescent="0.3">
      <c r="A243" s="1">
        <v>45987</v>
      </c>
      <c r="B243" t="s">
        <v>6</v>
      </c>
      <c r="C243">
        <v>6812.61</v>
      </c>
      <c r="D243">
        <v>9008.7739099999999</v>
      </c>
      <c r="E243" s="2">
        <v>3.4720756144946463E-2</v>
      </c>
      <c r="F243" s="1">
        <v>48929</v>
      </c>
      <c r="G243">
        <v>7153.240499999999</v>
      </c>
      <c r="H243">
        <v>0.215583</v>
      </c>
      <c r="J243" s="3">
        <f t="shared" si="3"/>
        <v>8.0602739726027401</v>
      </c>
      <c r="K243" s="3">
        <f>(LN(D243/G243)+H243^2*J243/2)/(H243*SQRT(J243))</f>
        <v>0.6828459460214108</v>
      </c>
      <c r="L243" s="3">
        <f>K243-H243*SQRT(J243)</f>
        <v>7.0792407461087059E-2</v>
      </c>
      <c r="M243" s="3">
        <f>EXP(-E243*J243)*(D243*_xlfn.NORM.DIST(K243,0,1,TRUE)-G243*_xlfn.NORM.DIST(L243,0,1,TRUE))</f>
        <v>2269.1534838461489</v>
      </c>
      <c r="N243" s="3">
        <f>EXP(-E243*J243)*(G243*_xlfn.NORM.DIST(-L243,0,1,TRUE)-D243*_xlfn.NORM.DIST(-K243,0,1,TRUE))</f>
        <v>866.57348043173863</v>
      </c>
      <c r="O243" s="3" t="b">
        <f>(M243-N243)=EXP(-E243*J243)*(D243-G243)</f>
        <v>1</v>
      </c>
    </row>
    <row r="244" spans="1:15" x14ac:dyDescent="0.3">
      <c r="A244" s="1">
        <v>45987</v>
      </c>
      <c r="B244" t="s">
        <v>6</v>
      </c>
      <c r="C244">
        <v>6812.61</v>
      </c>
      <c r="D244">
        <v>9008.7739099999999</v>
      </c>
      <c r="E244" s="2">
        <v>3.4720756144946463E-2</v>
      </c>
      <c r="F244" s="1">
        <v>48929</v>
      </c>
      <c r="G244">
        <v>7493.8710000000001</v>
      </c>
      <c r="H244">
        <v>0.21121500000000001</v>
      </c>
      <c r="J244" s="3">
        <f t="shared" si="3"/>
        <v>8.0602739726027401</v>
      </c>
      <c r="K244" s="3">
        <f>(LN(D244/G244)+H244^2*J244/2)/(H244*SQRT(J244))</f>
        <v>0.60685989828575304</v>
      </c>
      <c r="L244" s="3">
        <f>K244-H244*SQRT(J244)</f>
        <v>7.2073832589708564E-3</v>
      </c>
      <c r="M244" s="3">
        <f>EXP(-E244*J244)*(D244*_xlfn.NORM.DIST(K244,0,1,TRUE)-G244*_xlfn.NORM.DIST(L244,0,1,TRUE))</f>
        <v>2109.0534132215453</v>
      </c>
      <c r="N244" s="3">
        <f>EXP(-E244*J244)*(G244*_xlfn.NORM.DIST(-L244,0,1,TRUE)-D244*_xlfn.NORM.DIST(-K244,0,1,TRUE))</f>
        <v>963.95275524940075</v>
      </c>
      <c r="O244" s="3" t="b">
        <f>(M244-N244)=EXP(-E244*J244)*(D244-G244)</f>
        <v>1</v>
      </c>
    </row>
    <row r="245" spans="1:15" x14ac:dyDescent="0.3">
      <c r="A245" s="1">
        <v>45987</v>
      </c>
      <c r="B245" t="s">
        <v>6</v>
      </c>
      <c r="C245">
        <v>6812.61</v>
      </c>
      <c r="D245">
        <v>9008.7739099999999</v>
      </c>
      <c r="E245" s="2">
        <v>3.4720756144946463E-2</v>
      </c>
      <c r="F245" s="1">
        <v>48929</v>
      </c>
      <c r="G245">
        <v>8175.1319999999996</v>
      </c>
      <c r="H245">
        <v>0.20297599999999999</v>
      </c>
      <c r="J245" s="3">
        <f t="shared" si="3"/>
        <v>8.0602739726027401</v>
      </c>
      <c r="K245" s="3">
        <f>(LN(D245/G245)+H245^2*J245/2)/(H245*SQRT(J245))</f>
        <v>0.45663431257836529</v>
      </c>
      <c r="L245" s="3">
        <f>K245-H245*SQRT(J245)</f>
        <v>-0.11962716927697703</v>
      </c>
      <c r="M245" s="3">
        <f>EXP(-E245*J245)*(D245*_xlfn.NORM.DIST(K245,0,1,TRUE)-G245*_xlfn.NORM.DIST(L245,0,1,TRUE))</f>
        <v>1808.0045878860824</v>
      </c>
      <c r="N245" s="3">
        <f>EXP(-E245*J245)*(G245*_xlfn.NORM.DIST(-L245,0,1,TRUE)-D245*_xlfn.NORM.DIST(-K245,0,1,TRUE))</f>
        <v>1177.862620798466</v>
      </c>
      <c r="O245" s="3" t="b">
        <f>(M245-N245)=EXP(-E245*J245)*(D245-G245)</f>
        <v>0</v>
      </c>
    </row>
    <row r="246" spans="1:15" x14ac:dyDescent="0.3">
      <c r="A246" s="1">
        <v>45987</v>
      </c>
      <c r="B246" t="s">
        <v>6</v>
      </c>
      <c r="C246">
        <v>6812.61</v>
      </c>
      <c r="D246">
        <v>9008.7739099999999</v>
      </c>
      <c r="E246" s="2">
        <v>3.4720756144946463E-2</v>
      </c>
      <c r="F246" s="1">
        <v>48929</v>
      </c>
      <c r="G246">
        <v>8856.393</v>
      </c>
      <c r="H246">
        <v>0.195325</v>
      </c>
      <c r="J246" s="3">
        <f t="shared" si="3"/>
        <v>8.0602739726027401</v>
      </c>
      <c r="K246" s="3">
        <f>(LN(D246/G246)+H246^2*J246/2)/(H246*SQRT(J246))</f>
        <v>0.30803309224106534</v>
      </c>
      <c r="L246" s="3">
        <f>K246-H246*SQRT(J246)</f>
        <v>-0.24650672499542936</v>
      </c>
      <c r="M246" s="3">
        <f>EXP(-E246*J246)*(D246*_xlfn.NORM.DIST(K246,0,1,TRUE)-G246*_xlfn.NORM.DIST(L246,0,1,TRUE))</f>
        <v>1533.103689534285</v>
      </c>
      <c r="N246" s="3">
        <f>EXP(-E246*J246)*(G246*_xlfn.NORM.DIST(-L246,0,1,TRUE)-D246*_xlfn.NORM.DIST(-K246,0,1,TRUE))</f>
        <v>1417.9204133311962</v>
      </c>
      <c r="O246" s="3" t="b">
        <f>(M246-N246)=EXP(-E246*J246)*(D246-G246)</f>
        <v>1</v>
      </c>
    </row>
    <row r="247" spans="1:15" x14ac:dyDescent="0.3">
      <c r="A247" s="1">
        <v>45987</v>
      </c>
      <c r="B247" t="s">
        <v>6</v>
      </c>
      <c r="C247">
        <v>6812.61</v>
      </c>
      <c r="D247">
        <v>9008.7739099999999</v>
      </c>
      <c r="E247" s="2">
        <v>3.4720756144946463E-2</v>
      </c>
      <c r="F247" s="1">
        <v>48929</v>
      </c>
      <c r="G247">
        <v>9537.6539999999986</v>
      </c>
      <c r="H247">
        <v>0.188195</v>
      </c>
      <c r="J247" s="3">
        <f t="shared" si="3"/>
        <v>8.0602739726027401</v>
      </c>
      <c r="K247" s="3">
        <f>(LN(D247/G247)+H247^2*J247/2)/(H247*SQRT(J247))</f>
        <v>0.16037558483147324</v>
      </c>
      <c r="L247" s="3">
        <f>K247-H247*SQRT(J247)</f>
        <v>-0.37392171917375966</v>
      </c>
      <c r="M247" s="3">
        <f>EXP(-E247*J247)*(D247*_xlfn.NORM.DIST(K247,0,1,TRUE)-G247*_xlfn.NORM.DIST(L247,0,1,TRUE))</f>
        <v>1284.8452582658999</v>
      </c>
      <c r="N247" s="3">
        <f>EXP(-E247*J247)*(G247*_xlfn.NORM.DIST(-L247,0,1,TRUE)-D247*_xlfn.NORM.DIST(-K247,0,1,TRUE))</f>
        <v>1684.6206729473381</v>
      </c>
      <c r="O247" s="3" t="b">
        <f>(M247-N247)=EXP(-E247*J247)*(D247-G247)</f>
        <v>0</v>
      </c>
    </row>
    <row r="248" spans="1:15" x14ac:dyDescent="0.3">
      <c r="A248" s="1">
        <v>45987</v>
      </c>
      <c r="B248" t="s">
        <v>6</v>
      </c>
      <c r="C248">
        <v>6812.61</v>
      </c>
      <c r="D248">
        <v>9008.7739099999999</v>
      </c>
      <c r="E248" s="2">
        <v>3.4720756144946463E-2</v>
      </c>
      <c r="F248" s="1">
        <v>48929</v>
      </c>
      <c r="G248">
        <v>10218.915000000001</v>
      </c>
      <c r="H248">
        <v>0.181534</v>
      </c>
      <c r="J248" s="3">
        <f t="shared" si="3"/>
        <v>8.0602739726027401</v>
      </c>
      <c r="K248" s="3">
        <f>(LN(D248/G248)+H248^2*J248/2)/(H248*SQRT(J248))</f>
        <v>1.3135954886816759E-2</v>
      </c>
      <c r="L248" s="3">
        <f>K248-H248*SQRT(J248)</f>
        <v>-0.50225035604219814</v>
      </c>
      <c r="M248" s="3">
        <f>EXP(-E248*J248)*(D248*_xlfn.NORM.DIST(K248,0,1,TRUE)-G248*_xlfn.NORM.DIST(L248,0,1,TRUE))</f>
        <v>1063.3630313065435</v>
      </c>
      <c r="N248" s="3">
        <f>EXP(-E248*J248)*(G248*_xlfn.NORM.DIST(-L248,0,1,TRUE)-D248*_xlfn.NORM.DIST(-K248,0,1,TRUE))</f>
        <v>1978.0971368725095</v>
      </c>
      <c r="O248" s="3" t="b">
        <f>(M248-N248)=EXP(-E248*J248)*(D248-G248)</f>
        <v>1</v>
      </c>
    </row>
    <row r="249" spans="1:15" x14ac:dyDescent="0.3">
      <c r="A249" s="1">
        <v>45987</v>
      </c>
      <c r="B249" t="s">
        <v>6</v>
      </c>
      <c r="C249">
        <v>6812.61</v>
      </c>
      <c r="D249">
        <v>9395.5019200000006</v>
      </c>
      <c r="E249" s="2">
        <v>3.5408270923065886E-2</v>
      </c>
      <c r="F249" s="1">
        <v>49293</v>
      </c>
      <c r="G249">
        <v>3406.3049999999998</v>
      </c>
      <c r="H249">
        <v>0.28101900000000002</v>
      </c>
      <c r="J249" s="3">
        <f t="shared" si="3"/>
        <v>9.0575342465753419</v>
      </c>
      <c r="K249" s="3">
        <f>(LN(D249/G249)+H249^2*J249/2)/(H249*SQRT(J249))</f>
        <v>1.6225261279738523</v>
      </c>
      <c r="L249" s="3">
        <f>K249-H249*SQRT(J249)</f>
        <v>0.77677871812603583</v>
      </c>
      <c r="M249" s="3">
        <f>EXP(-E249*J249)*(D249*_xlfn.NORM.DIST(K249,0,1,TRUE)-G249*_xlfn.NORM.DIST(L249,0,1,TRUE))</f>
        <v>4529.5113218898905</v>
      </c>
      <c r="N249" s="3">
        <f>EXP(-E249*J249)*(G249*_xlfn.NORM.DIST(-L249,0,1,TRUE)-D249*_xlfn.NORM.DIST(-K249,0,1,TRUE))</f>
        <v>183.55554356055742</v>
      </c>
      <c r="O249" s="3" t="b">
        <f>(M249-N249)=EXP(-E249*J249)*(D249-G249)</f>
        <v>1</v>
      </c>
    </row>
    <row r="250" spans="1:15" x14ac:dyDescent="0.3">
      <c r="A250" s="1">
        <v>45987</v>
      </c>
      <c r="B250" t="s">
        <v>6</v>
      </c>
      <c r="C250">
        <v>6812.61</v>
      </c>
      <c r="D250">
        <v>9395.5019200000006</v>
      </c>
      <c r="E250" s="2">
        <v>3.5408270923065886E-2</v>
      </c>
      <c r="F250" s="1">
        <v>49293</v>
      </c>
      <c r="G250">
        <v>4087.5659999999998</v>
      </c>
      <c r="H250">
        <v>0.26681500000000002</v>
      </c>
      <c r="J250" s="3">
        <f t="shared" si="3"/>
        <v>9.0575342465753419</v>
      </c>
      <c r="K250" s="3">
        <f>(LN(D250/G250)+H250^2*J250/2)/(H250*SQRT(J250))</f>
        <v>1.437965427647387</v>
      </c>
      <c r="L250" s="3">
        <f>K250-H250*SQRT(J250)</f>
        <v>0.63496600355668431</v>
      </c>
      <c r="M250" s="3">
        <f>EXP(-E250*J250)*(D250*_xlfn.NORM.DIST(K250,0,1,TRUE)-G250*_xlfn.NORM.DIST(L250,0,1,TRUE))</f>
        <v>4118.0332925144257</v>
      </c>
      <c r="N250" s="3">
        <f>EXP(-E250*J250)*(G250*_xlfn.NORM.DIST(-L250,0,1,TRUE)-D250*_xlfn.NORM.DIST(-K250,0,1,TRUE))</f>
        <v>266.42261905441421</v>
      </c>
      <c r="O250" s="3" t="b">
        <f>(M250-N250)=EXP(-E250*J250)*(D250-G250)</f>
        <v>1</v>
      </c>
    </row>
    <row r="251" spans="1:15" x14ac:dyDescent="0.3">
      <c r="A251" s="1">
        <v>45987</v>
      </c>
      <c r="B251" t="s">
        <v>6</v>
      </c>
      <c r="C251">
        <v>6812.61</v>
      </c>
      <c r="D251">
        <v>9395.5019200000006</v>
      </c>
      <c r="E251" s="2">
        <v>3.5408270923065886E-2</v>
      </c>
      <c r="F251" s="1">
        <v>49293</v>
      </c>
      <c r="G251">
        <v>4768.8269999999993</v>
      </c>
      <c r="H251">
        <v>0.25452900000000001</v>
      </c>
      <c r="J251" s="3">
        <f t="shared" si="3"/>
        <v>9.0575342465753419</v>
      </c>
      <c r="K251" s="3">
        <f>(LN(D251/G251)+H251^2*J251/2)/(H251*SQRT(J251))</f>
        <v>1.2682725048033192</v>
      </c>
      <c r="L251" s="3">
        <f>K251-H251*SQRT(J251)</f>
        <v>0.50224870398858823</v>
      </c>
      <c r="M251" s="3">
        <f>EXP(-E251*J251)*(D251*_xlfn.NORM.DIST(K251,0,1,TRUE)-G251*_xlfn.NORM.DIST(L251,0,1,TRUE))</f>
        <v>3724.4037797797691</v>
      </c>
      <c r="N251" s="3">
        <f>EXP(-E251*J251)*(G251*_xlfn.NORM.DIST(-L251,0,1,TRUE)-D251*_xlfn.NORM.DIST(-K251,0,1,TRUE))</f>
        <v>367.1382111890797</v>
      </c>
      <c r="O251" s="3" t="b">
        <f>(M251-N251)=EXP(-E251*J251)*(D251-G251)</f>
        <v>1</v>
      </c>
    </row>
    <row r="252" spans="1:15" x14ac:dyDescent="0.3">
      <c r="A252" s="1">
        <v>45987</v>
      </c>
      <c r="B252" t="s">
        <v>6</v>
      </c>
      <c r="C252">
        <v>6812.61</v>
      </c>
      <c r="D252">
        <v>9395.5019200000006</v>
      </c>
      <c r="E252" s="2">
        <v>3.5408270923065886E-2</v>
      </c>
      <c r="F252" s="1">
        <v>49293</v>
      </c>
      <c r="G252">
        <v>5450.0879999999997</v>
      </c>
      <c r="H252">
        <v>0.24366499999999999</v>
      </c>
      <c r="J252" s="3">
        <f t="shared" si="3"/>
        <v>9.0575342465753419</v>
      </c>
      <c r="K252" s="3">
        <f>(LN(D252/G252)+H252^2*J252/2)/(H252*SQRT(J252))</f>
        <v>1.1093049174107645</v>
      </c>
      <c r="L252" s="3">
        <f>K252-H252*SQRT(J252)</f>
        <v>0.37597712597826993</v>
      </c>
      <c r="M252" s="3">
        <f>EXP(-E252*J252)*(D252*_xlfn.NORM.DIST(K252,0,1,TRUE)-G252*_xlfn.NORM.DIST(L252,0,1,TRUE))</f>
        <v>3349.6191646118505</v>
      </c>
      <c r="N252" s="3">
        <f>EXP(-E252*J252)*(G252*_xlfn.NORM.DIST(-L252,0,1,TRUE)-D252*_xlfn.NORM.DIST(-K252,0,1,TRUE))</f>
        <v>486.69870089048248</v>
      </c>
      <c r="O252" s="3" t="b">
        <f>(M252-N252)=EXP(-E252*J252)*(D252-G252)</f>
        <v>1</v>
      </c>
    </row>
    <row r="253" spans="1:15" x14ac:dyDescent="0.3">
      <c r="A253" s="1">
        <v>45987</v>
      </c>
      <c r="B253" t="s">
        <v>6</v>
      </c>
      <c r="C253">
        <v>6812.61</v>
      </c>
      <c r="D253">
        <v>9395.5019200000006</v>
      </c>
      <c r="E253" s="2">
        <v>3.5408270923065886E-2</v>
      </c>
      <c r="F253" s="1">
        <v>49293</v>
      </c>
      <c r="G253">
        <v>6131.3490000000002</v>
      </c>
      <c r="H253">
        <v>0.23389699999999997</v>
      </c>
      <c r="J253" s="3">
        <f t="shared" si="3"/>
        <v>9.0575342465753419</v>
      </c>
      <c r="K253" s="3">
        <f>(LN(D253/G253)+H253^2*J253/2)/(H253*SQRT(J253))</f>
        <v>0.95829829263574606</v>
      </c>
      <c r="L253" s="3">
        <f>K253-H253*SQRT(J253)</f>
        <v>0.25436801773912099</v>
      </c>
      <c r="M253" s="3">
        <f>EXP(-E253*J253)*(D253*_xlfn.NORM.DIST(K253,0,1,TRUE)-G253*_xlfn.NORM.DIST(L253,0,1,TRUE))</f>
        <v>2994.5737302992243</v>
      </c>
      <c r="N253" s="3">
        <f>EXP(-E253*J253)*(G253*_xlfn.NORM.DIST(-L253,0,1,TRUE)-D253*_xlfn.NORM.DIST(-K253,0,1,TRUE))</f>
        <v>625.99837144717878</v>
      </c>
      <c r="O253" s="3" t="b">
        <f>(M253-N253)=EXP(-E253*J253)*(D253-G253)</f>
        <v>1</v>
      </c>
    </row>
    <row r="254" spans="1:15" x14ac:dyDescent="0.3">
      <c r="A254" s="1">
        <v>45987</v>
      </c>
      <c r="B254" t="s">
        <v>6</v>
      </c>
      <c r="C254">
        <v>6812.61</v>
      </c>
      <c r="D254">
        <v>9395.5019200000006</v>
      </c>
      <c r="E254" s="2">
        <v>3.5408270923065886E-2</v>
      </c>
      <c r="F254" s="1">
        <v>49293</v>
      </c>
      <c r="G254">
        <v>6471.9794999999995</v>
      </c>
      <c r="H254">
        <v>0.22935099999999997</v>
      </c>
      <c r="J254" s="3">
        <f t="shared" si="3"/>
        <v>9.0575342465753419</v>
      </c>
      <c r="K254" s="3">
        <f>(LN(D254/G254)+H254^2*J254/2)/(H254*SQRT(J254))</f>
        <v>0.88514569751681005</v>
      </c>
      <c r="L254" s="3">
        <f>K254-H254*SQRT(J254)</f>
        <v>0.19489694495557208</v>
      </c>
      <c r="M254" s="3">
        <f>EXP(-E254*J254)*(D254*_xlfn.NORM.DIST(K254,0,1,TRUE)-G254*_xlfn.NORM.DIST(L254,0,1,TRUE))</f>
        <v>2824.7024469467478</v>
      </c>
      <c r="N254" s="3">
        <f>EXP(-E254*J254)*(G254*_xlfn.NORM.DIST(-L254,0,1,TRUE)-D254*_xlfn.NORM.DIST(-K254,0,1,TRUE))</f>
        <v>703.29964052936259</v>
      </c>
      <c r="O254" s="3" t="b">
        <f>(M254-N254)=EXP(-E254*J254)*(D254-G254)</f>
        <v>1</v>
      </c>
    </row>
    <row r="255" spans="1:15" x14ac:dyDescent="0.3">
      <c r="A255" s="1">
        <v>45987</v>
      </c>
      <c r="B255" t="s">
        <v>6</v>
      </c>
      <c r="C255">
        <v>6812.61</v>
      </c>
      <c r="D255">
        <v>9395.5019200000006</v>
      </c>
      <c r="E255" s="2">
        <v>3.5408270923065886E-2</v>
      </c>
      <c r="F255" s="1">
        <v>49293</v>
      </c>
      <c r="G255">
        <v>6812.61</v>
      </c>
      <c r="H255">
        <v>0.22500200000000001</v>
      </c>
      <c r="J255" s="3">
        <f t="shared" si="3"/>
        <v>9.0575342465753419</v>
      </c>
      <c r="K255" s="3">
        <f>(LN(D255/G255)+H255^2*J255/2)/(H255*SQRT(J255))</f>
        <v>0.81329163849884667</v>
      </c>
      <c r="L255" s="3">
        <f>K255-H255*SQRT(J255)</f>
        <v>0.13613152224130398</v>
      </c>
      <c r="M255" s="3">
        <f>EXP(-E255*J255)*(D255*_xlfn.NORM.DIST(K255,0,1,TRUE)-G255*_xlfn.NORM.DIST(L255,0,1,TRUE))</f>
        <v>2660.0595672067716</v>
      </c>
      <c r="N255" s="3">
        <f>EXP(-E255*J255)*(G255*_xlfn.NORM.DIST(-L255,0,1,TRUE)-D255*_xlfn.NORM.DIST(-K255,0,1,TRUE))</f>
        <v>785.82931322404784</v>
      </c>
      <c r="O255" s="3" t="b">
        <f>(M255-N255)=EXP(-E255*J255)*(D255-G255)</f>
        <v>1</v>
      </c>
    </row>
    <row r="256" spans="1:15" x14ac:dyDescent="0.3">
      <c r="A256" s="1">
        <v>45987</v>
      </c>
      <c r="B256" t="s">
        <v>6</v>
      </c>
      <c r="C256">
        <v>6812.61</v>
      </c>
      <c r="D256">
        <v>9395.5019200000006</v>
      </c>
      <c r="E256" s="2">
        <v>3.5408270923065886E-2</v>
      </c>
      <c r="F256" s="1">
        <v>49293</v>
      </c>
      <c r="G256">
        <v>7153.240499999999</v>
      </c>
      <c r="H256">
        <v>0.22083100000000003</v>
      </c>
      <c r="J256" s="3">
        <f t="shared" si="3"/>
        <v>9.0575342465753419</v>
      </c>
      <c r="K256" s="3">
        <f>(LN(D256/G256)+H256^2*J256/2)/(H256*SQRT(J256))</f>
        <v>0.74256937205846651</v>
      </c>
      <c r="L256" s="3">
        <f>K256-H256*SQRT(J256)</f>
        <v>7.7962187974460861E-2</v>
      </c>
      <c r="M256" s="3">
        <f>EXP(-E256*J256)*(D256*_xlfn.NORM.DIST(K256,0,1,TRUE)-G256*_xlfn.NORM.DIST(L256,0,1,TRUE))</f>
        <v>2500.7209480417646</v>
      </c>
      <c r="N256" s="3">
        <f>EXP(-E256*J256)*(G256*_xlfn.NORM.DIST(-L256,0,1,TRUE)-D256*_xlfn.NORM.DIST(-K256,0,1,TRUE))</f>
        <v>873.66324649370074</v>
      </c>
      <c r="O256" s="3" t="b">
        <f>(M256-N256)=EXP(-E256*J256)*(D256-G256)</f>
        <v>1</v>
      </c>
    </row>
    <row r="257" spans="1:15" x14ac:dyDescent="0.3">
      <c r="A257" s="1">
        <v>45987</v>
      </c>
      <c r="B257" t="s">
        <v>6</v>
      </c>
      <c r="C257">
        <v>6812.61</v>
      </c>
      <c r="D257">
        <v>9395.5019200000006</v>
      </c>
      <c r="E257" s="2">
        <v>3.5408270923065886E-2</v>
      </c>
      <c r="F257" s="1">
        <v>49293</v>
      </c>
      <c r="G257">
        <v>7493.8710000000001</v>
      </c>
      <c r="H257">
        <v>0.21682199999999999</v>
      </c>
      <c r="J257" s="3">
        <f t="shared" si="3"/>
        <v>9.0575342465753419</v>
      </c>
      <c r="K257" s="3">
        <f>(LN(D257/G257)+H257^2*J257/2)/(H257*SQRT(J257))</f>
        <v>0.67283194649516609</v>
      </c>
      <c r="L257" s="3">
        <f>K257-H257*SQRT(J257)</f>
        <v>2.0290143634778546E-2</v>
      </c>
      <c r="M257" s="3">
        <f>EXP(-E257*J257)*(D257*_xlfn.NORM.DIST(K257,0,1,TRUE)-G257*_xlfn.NORM.DIST(L257,0,1,TRUE))</f>
        <v>2346.7555184718931</v>
      </c>
      <c r="N257" s="3">
        <f>EXP(-E257*J257)*(G257*_xlfn.NORM.DIST(-L257,0,1,TRUE)-D257*_xlfn.NORM.DIST(-K257,0,1,TRUE))</f>
        <v>966.87036935849096</v>
      </c>
      <c r="O257" s="3" t="b">
        <f>(M257-N257)=EXP(-E257*J257)*(D257-G257)</f>
        <v>1</v>
      </c>
    </row>
    <row r="258" spans="1:15" x14ac:dyDescent="0.3">
      <c r="A258" s="1">
        <v>45987</v>
      </c>
      <c r="B258" t="s">
        <v>6</v>
      </c>
      <c r="C258">
        <v>6812.61</v>
      </c>
      <c r="D258">
        <v>9395.5019200000006</v>
      </c>
      <c r="E258" s="2">
        <v>3.5408270923065886E-2</v>
      </c>
      <c r="F258" s="1">
        <v>49293</v>
      </c>
      <c r="G258">
        <v>8175.1319999999996</v>
      </c>
      <c r="H258">
        <v>0.20923900000000001</v>
      </c>
      <c r="J258" s="3">
        <f t="shared" si="3"/>
        <v>9.0575342465753419</v>
      </c>
      <c r="K258" s="3">
        <f>(LN(D258/G258)+H258^2*J258/2)/(H258*SQRT(J258))</f>
        <v>0.53580615291032718</v>
      </c>
      <c r="L258" s="3">
        <f>K258-H258*SQRT(J258)</f>
        <v>-9.3914052090570577E-2</v>
      </c>
      <c r="M258" s="3">
        <f>EXP(-E258*J258)*(D258*_xlfn.NORM.DIST(K258,0,1,TRUE)-G258*_xlfn.NORM.DIST(L258,0,1,TRUE))</f>
        <v>2055.1906137600495</v>
      </c>
      <c r="N258" s="3">
        <f>EXP(-E258*J258)*(G258*_xlfn.NORM.DIST(-L258,0,1,TRUE)-D258*_xlfn.NORM.DIST(-K258,0,1,TRUE))</f>
        <v>1169.6505695159694</v>
      </c>
      <c r="O258" s="3" t="b">
        <f>(M258-N258)=EXP(-E258*J258)*(D258-G258)</f>
        <v>1</v>
      </c>
    </row>
    <row r="259" spans="1:15" x14ac:dyDescent="0.3">
      <c r="A259" s="1">
        <v>45987</v>
      </c>
      <c r="B259" t="s">
        <v>6</v>
      </c>
      <c r="C259">
        <v>6812.61</v>
      </c>
      <c r="D259">
        <v>9395.5019200000006</v>
      </c>
      <c r="E259" s="2">
        <v>3.5408270923065886E-2</v>
      </c>
      <c r="F259" s="1">
        <v>49293</v>
      </c>
      <c r="G259">
        <v>8856.393</v>
      </c>
      <c r="H259">
        <v>0.20216400000000001</v>
      </c>
      <c r="J259" s="3">
        <f t="shared" ref="J259:J322" si="4">(F259-A259)/365</f>
        <v>9.0575342465753419</v>
      </c>
      <c r="K259" s="3">
        <f>(LN(D259/G259)+H259^2*J259/2)/(H259*SQRT(J259))</f>
        <v>0.4013353929222897</v>
      </c>
      <c r="L259" s="3">
        <f>K259-H259*SQRT(J259)</f>
        <v>-0.20709207769170423</v>
      </c>
      <c r="M259" s="3">
        <f>EXP(-E259*J259)*(D259*_xlfn.NORM.DIST(K259,0,1,TRUE)-G259*_xlfn.NORM.DIST(L259,0,1,TRUE))</f>
        <v>1785.7365773952995</v>
      </c>
      <c r="N259" s="3">
        <f>EXP(-E259*J259)*(G259*_xlfn.NORM.DIST(-L259,0,1,TRUE)-D259*_xlfn.NORM.DIST(-K259,0,1,TRUE))</f>
        <v>1394.5416380205413</v>
      </c>
      <c r="O259" s="3" t="b">
        <f>(M259-N259)=EXP(-E259*J259)*(D259-G259)</f>
        <v>1</v>
      </c>
    </row>
    <row r="260" spans="1:15" x14ac:dyDescent="0.3">
      <c r="A260" s="1">
        <v>45987</v>
      </c>
      <c r="B260" t="s">
        <v>6</v>
      </c>
      <c r="C260">
        <v>6812.61</v>
      </c>
      <c r="D260">
        <v>9395.5019200000006</v>
      </c>
      <c r="E260" s="2">
        <v>3.5408270923065886E-2</v>
      </c>
      <c r="F260" s="1">
        <v>49293</v>
      </c>
      <c r="G260">
        <v>9537.6539999999986</v>
      </c>
      <c r="H260">
        <v>0.19552900000000001</v>
      </c>
      <c r="J260" s="3">
        <f t="shared" si="4"/>
        <v>9.0575342465753419</v>
      </c>
      <c r="K260" s="3">
        <f>(LN(D260/G260)+H260^2*J260/2)/(H260*SQRT(J260))</f>
        <v>0.26871114769797244</v>
      </c>
      <c r="L260" s="3">
        <f>K260-H260*SQRT(J260)</f>
        <v>-0.31974780098568845</v>
      </c>
      <c r="M260" s="3">
        <f>EXP(-E260*J260)*(D260*_xlfn.NORM.DIST(K260,0,1,TRUE)-G260*_xlfn.NORM.DIST(L260,0,1,TRUE))</f>
        <v>1538.5934269561928</v>
      </c>
      <c r="N260" s="3">
        <f>EXP(-E260*J260)*(G260*_xlfn.NORM.DIST(-L260,0,1,TRUE)-D260*_xlfn.NORM.DIST(-K260,0,1,TRUE))</f>
        <v>1641.7435924507554</v>
      </c>
      <c r="O260" s="3" t="b">
        <f>(M260-N260)=EXP(-E260*J260)*(D260-G260)</f>
        <v>1</v>
      </c>
    </row>
    <row r="261" spans="1:15" x14ac:dyDescent="0.3">
      <c r="A261" s="1">
        <v>45987</v>
      </c>
      <c r="B261" t="s">
        <v>6</v>
      </c>
      <c r="C261">
        <v>6812.61</v>
      </c>
      <c r="D261">
        <v>9395.5019200000006</v>
      </c>
      <c r="E261" s="2">
        <v>3.5408270923065886E-2</v>
      </c>
      <c r="F261" s="1">
        <v>49293</v>
      </c>
      <c r="G261">
        <v>10218.915000000001</v>
      </c>
      <c r="H261">
        <v>0.18928</v>
      </c>
      <c r="J261" s="3">
        <f t="shared" si="4"/>
        <v>9.0575342465753419</v>
      </c>
      <c r="K261" s="3">
        <f>(LN(D261/G261)+H261^2*J261/2)/(H261*SQRT(J261))</f>
        <v>0.13735121483764934</v>
      </c>
      <c r="L261" s="3">
        <f>K261-H261*SQRT(J261)</f>
        <v>-0.43230090738894278</v>
      </c>
      <c r="M261" s="3">
        <f>EXP(-E261*J261)*(D261*_xlfn.NORM.DIST(K261,0,1,TRUE)-G261*_xlfn.NORM.DIST(L261,0,1,TRUE))</f>
        <v>1313.7613470363153</v>
      </c>
      <c r="N261" s="3">
        <f>EXP(-E261*J261)*(G261*_xlfn.NORM.DIST(-L261,0,1,TRUE)-D261*_xlfn.NORM.DIST(-K261,0,1,TRUE))</f>
        <v>1911.2566174002018</v>
      </c>
      <c r="O261" s="3" t="b">
        <f>(M261-N261)=EXP(-E261*J261)*(D261-G261)</f>
        <v>1</v>
      </c>
    </row>
    <row r="262" spans="1:15" x14ac:dyDescent="0.3">
      <c r="A262" s="1">
        <v>45987</v>
      </c>
      <c r="B262" t="s">
        <v>6</v>
      </c>
      <c r="C262">
        <v>6812.61</v>
      </c>
      <c r="D262">
        <v>9832.7023300000001</v>
      </c>
      <c r="E262" s="2">
        <v>3.6097009976495141E-2</v>
      </c>
      <c r="F262" s="1">
        <v>49664</v>
      </c>
      <c r="G262">
        <v>3406.3049999999998</v>
      </c>
      <c r="H262">
        <v>0.28210000000000002</v>
      </c>
      <c r="J262" s="3">
        <f t="shared" si="4"/>
        <v>10.073972602739726</v>
      </c>
      <c r="K262" s="3">
        <f>(LN(D262/G262)+H262^2*J262/2)/(H262*SQRT(J262))</f>
        <v>1.6316472336398626</v>
      </c>
      <c r="L262" s="3">
        <f>K262-H262*SQRT(J262)</f>
        <v>0.73627531647091626</v>
      </c>
      <c r="M262" s="3">
        <f>EXP(-E262*J262)*(D262*_xlfn.NORM.DIST(K262,0,1,TRUE)-G262*_xlfn.NORM.DIST(L262,0,1,TRUE))</f>
        <v>4662.5455331984012</v>
      </c>
      <c r="N262" s="3">
        <f>EXP(-E262*J262)*(G262*_xlfn.NORM.DIST(-L262,0,1,TRUE)-D262*_xlfn.NORM.DIST(-K262,0,1,TRUE))</f>
        <v>195.29198582953143</v>
      </c>
      <c r="O262" s="3" t="b">
        <f>(M262-N262)=EXP(-E262*J262)*(D262-G262)</f>
        <v>1</v>
      </c>
    </row>
    <row r="263" spans="1:15" x14ac:dyDescent="0.3">
      <c r="A263" s="1">
        <v>45987</v>
      </c>
      <c r="B263" t="s">
        <v>6</v>
      </c>
      <c r="C263">
        <v>6812.61</v>
      </c>
      <c r="D263">
        <v>9832.7023300000001</v>
      </c>
      <c r="E263" s="2">
        <v>3.6097009976495141E-2</v>
      </c>
      <c r="F263" s="1">
        <v>49664</v>
      </c>
      <c r="G263">
        <v>4087.5659999999998</v>
      </c>
      <c r="H263">
        <v>0.26877400000000001</v>
      </c>
      <c r="J263" s="3">
        <f t="shared" si="4"/>
        <v>10.073972602739726</v>
      </c>
      <c r="K263" s="3">
        <f>(LN(D263/G263)+H263^2*J263/2)/(H263*SQRT(J263))</f>
        <v>1.4554782377598714</v>
      </c>
      <c r="L263" s="3">
        <f>K263-H263*SQRT(J263)</f>
        <v>0.60240240768129505</v>
      </c>
      <c r="M263" s="3">
        <f>EXP(-E263*J263)*(D263*_xlfn.NORM.DIST(K263,0,1,TRUE)-G263*_xlfn.NORM.DIST(L263,0,1,TRUE))</f>
        <v>4273.2995973659354</v>
      </c>
      <c r="N263" s="3">
        <f>EXP(-E263*J263)*(G263*_xlfn.NORM.DIST(-L263,0,1,TRUE)-D263*_xlfn.NORM.DIST(-K263,0,1,TRUE))</f>
        <v>279.61863859610764</v>
      </c>
      <c r="O263" s="3" t="b">
        <f>(M263-N263)=EXP(-E263*J263)*(D263-G263)</f>
        <v>1</v>
      </c>
    </row>
    <row r="264" spans="1:15" x14ac:dyDescent="0.3">
      <c r="A264" s="1">
        <v>45987</v>
      </c>
      <c r="B264" t="s">
        <v>6</v>
      </c>
      <c r="C264">
        <v>6812.61</v>
      </c>
      <c r="D264">
        <v>9832.7023300000001</v>
      </c>
      <c r="E264" s="2">
        <v>3.6097009976495141E-2</v>
      </c>
      <c r="F264" s="1">
        <v>49664</v>
      </c>
      <c r="G264">
        <v>4768.8269999999993</v>
      </c>
      <c r="H264">
        <v>0.25724799999999998</v>
      </c>
      <c r="J264" s="3">
        <f t="shared" si="4"/>
        <v>10.073972602739726</v>
      </c>
      <c r="K264" s="3">
        <f>(LN(D264/G264)+H264^2*J264/2)/(H264*SQRT(J264))</f>
        <v>1.2944923201758836</v>
      </c>
      <c r="L264" s="3">
        <f>K264-H264*SQRT(J264)</f>
        <v>0.47799946321779385</v>
      </c>
      <c r="M264" s="3">
        <f>EXP(-E264*J264)*(D264*_xlfn.NORM.DIST(K264,0,1,TRUE)-G264*_xlfn.NORM.DIST(L264,0,1,TRUE))</f>
        <v>3900.6123013194256</v>
      </c>
      <c r="N264" s="3">
        <f>EXP(-E264*J264)*(G264*_xlfn.NORM.DIST(-L264,0,1,TRUE)-D264*_xlfn.NORM.DIST(-K264,0,1,TRUE))</f>
        <v>380.50393114863692</v>
      </c>
      <c r="O264" s="3" t="b">
        <f>(M264-N264)=EXP(-E264*J264)*(D264-G264)</f>
        <v>1</v>
      </c>
    </row>
    <row r="265" spans="1:15" x14ac:dyDescent="0.3">
      <c r="A265" s="1">
        <v>45987</v>
      </c>
      <c r="B265" t="s">
        <v>6</v>
      </c>
      <c r="C265">
        <v>6812.61</v>
      </c>
      <c r="D265">
        <v>9832.7023300000001</v>
      </c>
      <c r="E265" s="2">
        <v>3.6097009976495141E-2</v>
      </c>
      <c r="F265" s="1">
        <v>49664</v>
      </c>
      <c r="G265">
        <v>5450.0879999999997</v>
      </c>
      <c r="H265">
        <v>0.24705099999999999</v>
      </c>
      <c r="J265" s="3">
        <f t="shared" si="4"/>
        <v>10.073972602739726</v>
      </c>
      <c r="K265" s="3">
        <f>(LN(D265/G265)+H265^2*J265/2)/(H265*SQRT(J265))</f>
        <v>1.1445967797866929</v>
      </c>
      <c r="L265" s="3">
        <f>K265-H265*SQRT(J265)</f>
        <v>0.36046871346799259</v>
      </c>
      <c r="M265" s="3">
        <f>EXP(-E265*J265)*(D265*_xlfn.NORM.DIST(K265,0,1,TRUE)-G265*_xlfn.NORM.DIST(L265,0,1,TRUE))</f>
        <v>3545.066598952651</v>
      </c>
      <c r="N265" s="3">
        <f>EXP(-E265*J265)*(G265*_xlfn.NORM.DIST(-L265,0,1,TRUE)-D265*_xlfn.NORM.DIST(-K265,0,1,TRUE))</f>
        <v>498.53081738090373</v>
      </c>
      <c r="O265" s="3" t="b">
        <f>(M265-N265)=EXP(-E265*J265)*(D265-G265)</f>
        <v>1</v>
      </c>
    </row>
    <row r="266" spans="1:15" x14ac:dyDescent="0.3">
      <c r="A266" s="1">
        <v>45987</v>
      </c>
      <c r="B266" t="s">
        <v>6</v>
      </c>
      <c r="C266">
        <v>6812.61</v>
      </c>
      <c r="D266">
        <v>9832.7023300000001</v>
      </c>
      <c r="E266" s="2">
        <v>3.6097009976495141E-2</v>
      </c>
      <c r="F266" s="1">
        <v>49664</v>
      </c>
      <c r="G266">
        <v>6131.3490000000002</v>
      </c>
      <c r="H266">
        <v>0.23787800000000001</v>
      </c>
      <c r="J266" s="3">
        <f t="shared" si="4"/>
        <v>10.073972602739726</v>
      </c>
      <c r="K266" s="3">
        <f>(LN(D266/G266)+H266^2*J266/2)/(H266*SQRT(J266))</f>
        <v>1.0030572016453183</v>
      </c>
      <c r="L266" s="3">
        <f>K266-H266*SQRT(J266)</f>
        <v>0.24804379890758477</v>
      </c>
      <c r="M266" s="3">
        <f>EXP(-E266*J266)*(D266*_xlfn.NORM.DIST(K266,0,1,TRUE)-G266*_xlfn.NORM.DIST(L266,0,1,TRUE))</f>
        <v>3207.1844603379068</v>
      </c>
      <c r="N266" s="3">
        <f>EXP(-E266*J266)*(G266*_xlfn.NORM.DIST(-L266,0,1,TRUE)-D266*_xlfn.NORM.DIST(-K266,0,1,TRUE))</f>
        <v>634.22126736519931</v>
      </c>
      <c r="O266" s="3" t="b">
        <f>(M266-N266)=EXP(-E266*J266)*(D266-G266)</f>
        <v>1</v>
      </c>
    </row>
    <row r="267" spans="1:15" x14ac:dyDescent="0.3">
      <c r="A267" s="1">
        <v>45987</v>
      </c>
      <c r="B267" t="s">
        <v>6</v>
      </c>
      <c r="C267">
        <v>6812.61</v>
      </c>
      <c r="D267">
        <v>9832.7023300000001</v>
      </c>
      <c r="E267" s="2">
        <v>3.6097009976495141E-2</v>
      </c>
      <c r="F267" s="1">
        <v>49664</v>
      </c>
      <c r="G267">
        <v>6471.9794999999995</v>
      </c>
      <c r="H267">
        <v>0.23360700000000001</v>
      </c>
      <c r="J267" s="3">
        <f t="shared" si="4"/>
        <v>10.073972602739726</v>
      </c>
      <c r="K267" s="3">
        <f>(LN(D267/G267)+H267^2*J267/2)/(H267*SQRT(J267))</f>
        <v>0.93479587406327946</v>
      </c>
      <c r="L267" s="3">
        <f>K267-H267*SQRT(J267)</f>
        <v>0.19333842119519706</v>
      </c>
      <c r="M267" s="3">
        <f>EXP(-E267*J267)*(D267*_xlfn.NORM.DIST(K267,0,1,TRUE)-G267*_xlfn.NORM.DIST(L267,0,1,TRUE))</f>
        <v>3045.0079014887178</v>
      </c>
      <c r="N267" s="3">
        <f>EXP(-E267*J267)*(G267*_xlfn.NORM.DIST(-L267,0,1,TRUE)-D267*_xlfn.NORM.DIST(-K267,0,1,TRUE))</f>
        <v>708.83100281553152</v>
      </c>
      <c r="O267" s="3" t="b">
        <f>(M267-N267)=EXP(-E267*J267)*(D267-G267)</f>
        <v>1</v>
      </c>
    </row>
    <row r="268" spans="1:15" x14ac:dyDescent="0.3">
      <c r="A268" s="1">
        <v>45987</v>
      </c>
      <c r="B268" t="s">
        <v>6</v>
      </c>
      <c r="C268">
        <v>6812.61</v>
      </c>
      <c r="D268">
        <v>9832.7023300000001</v>
      </c>
      <c r="E268" s="2">
        <v>3.6097009976495141E-2</v>
      </c>
      <c r="F268" s="1">
        <v>49664</v>
      </c>
      <c r="G268">
        <v>6812.61</v>
      </c>
      <c r="H268">
        <v>0.22951899999999997</v>
      </c>
      <c r="J268" s="3">
        <f t="shared" si="4"/>
        <v>10.073972602739726</v>
      </c>
      <c r="K268" s="3">
        <f>(LN(D268/G268)+H268^2*J268/2)/(H268*SQRT(J268))</f>
        <v>0.86794383582287471</v>
      </c>
      <c r="L268" s="3">
        <f>K268-H268*SQRT(J268)</f>
        <v>0.13946149957083864</v>
      </c>
      <c r="M268" s="3">
        <f>EXP(-E268*J268)*(D268*_xlfn.NORM.DIST(K268,0,1,TRUE)-G268*_xlfn.NORM.DIST(L268,0,1,TRUE))</f>
        <v>2887.4104999820429</v>
      </c>
      <c r="N268" s="3">
        <f>EXP(-E268*J268)*(G268*_xlfn.NORM.DIST(-L268,0,1,TRUE)-D268*_xlfn.NORM.DIST(-K268,0,1,TRUE))</f>
        <v>788.01989560837671</v>
      </c>
      <c r="O268" s="3" t="b">
        <f>(M268-N268)=EXP(-E268*J268)*(D268-G268)</f>
        <v>1</v>
      </c>
    </row>
    <row r="269" spans="1:15" x14ac:dyDescent="0.3">
      <c r="A269" s="1">
        <v>45987</v>
      </c>
      <c r="B269" t="s">
        <v>6</v>
      </c>
      <c r="C269">
        <v>6812.61</v>
      </c>
      <c r="D269">
        <v>9832.7023300000001</v>
      </c>
      <c r="E269" s="2">
        <v>3.6097009976495141E-2</v>
      </c>
      <c r="F269" s="1">
        <v>49664</v>
      </c>
      <c r="G269">
        <v>7153.240499999999</v>
      </c>
      <c r="H269">
        <v>0.22559599999999999</v>
      </c>
      <c r="J269" s="3">
        <f t="shared" si="4"/>
        <v>10.073972602739726</v>
      </c>
      <c r="K269" s="3">
        <f>(LN(D269/G269)+H269^2*J269/2)/(H269*SQRT(J269))</f>
        <v>0.80233751779567397</v>
      </c>
      <c r="L269" s="3">
        <f>K269-H269*SQRT(J269)</f>
        <v>8.6306596045778172E-2</v>
      </c>
      <c r="M269" s="3">
        <f>EXP(-E269*J269)*(D269*_xlfn.NORM.DIST(K269,0,1,TRUE)-G269*_xlfn.NORM.DIST(L269,0,1,TRUE))</f>
        <v>2734.4302113434319</v>
      </c>
      <c r="N269" s="3">
        <f>EXP(-E269*J269)*(G269*_xlfn.NORM.DIST(-L269,0,1,TRUE)-D269*_xlfn.NORM.DIST(-K269,0,1,TRUE))</f>
        <v>871.82590126928585</v>
      </c>
      <c r="O269" s="3" t="b">
        <f>(M269-N269)=EXP(-E269*J269)*(D269-G269)</f>
        <v>1</v>
      </c>
    </row>
    <row r="270" spans="1:15" x14ac:dyDescent="0.3">
      <c r="A270" s="1">
        <v>45987</v>
      </c>
      <c r="B270" t="s">
        <v>6</v>
      </c>
      <c r="C270">
        <v>6812.61</v>
      </c>
      <c r="D270">
        <v>9832.7023300000001</v>
      </c>
      <c r="E270" s="2">
        <v>3.6097009976495141E-2</v>
      </c>
      <c r="F270" s="1">
        <v>49664</v>
      </c>
      <c r="G270">
        <v>7493.8710000000001</v>
      </c>
      <c r="H270">
        <v>0.22182299999999999</v>
      </c>
      <c r="J270" s="3">
        <f t="shared" si="4"/>
        <v>10.073972602739726</v>
      </c>
      <c r="K270" s="3">
        <f>(LN(D270/G270)+H270^2*J270/2)/(H270*SQRT(J270))</f>
        <v>0.73783300676663888</v>
      </c>
      <c r="L270" s="3">
        <f>K270-H270*SQRT(J270)</f>
        <v>3.377740668805973E-2</v>
      </c>
      <c r="M270" s="3">
        <f>EXP(-E270*J270)*(D270*_xlfn.NORM.DIST(K270,0,1,TRUE)-G270*_xlfn.NORM.DIST(L270,0,1,TRUE))</f>
        <v>2586.1022940197254</v>
      </c>
      <c r="N270" s="3">
        <f>EXP(-E270*J270)*(G270*_xlfn.NORM.DIST(-L270,0,1,TRUE)-D270*_xlfn.NORM.DIST(-K270,0,1,TRUE))</f>
        <v>960.2842782451005</v>
      </c>
      <c r="O270" s="3" t="b">
        <f>(M270-N270)=EXP(-E270*J270)*(D270-G270)</f>
        <v>0</v>
      </c>
    </row>
    <row r="271" spans="1:15" x14ac:dyDescent="0.3">
      <c r="A271" s="1">
        <v>45987</v>
      </c>
      <c r="B271" t="s">
        <v>6</v>
      </c>
      <c r="C271">
        <v>6812.61</v>
      </c>
      <c r="D271">
        <v>9832.7023300000001</v>
      </c>
      <c r="E271" s="2">
        <v>3.6097009976495141E-2</v>
      </c>
      <c r="F271" s="1">
        <v>49664</v>
      </c>
      <c r="G271">
        <v>8175.1319999999996</v>
      </c>
      <c r="H271">
        <v>0.21467700000000001</v>
      </c>
      <c r="J271" s="3">
        <f t="shared" si="4"/>
        <v>10.073972602739726</v>
      </c>
      <c r="K271" s="3">
        <f>(LN(D271/G271)+H271^2*J271/2)/(H271*SQRT(J271))</f>
        <v>0.61163507967325981</v>
      </c>
      <c r="L271" s="3">
        <f>K271-H271*SQRT(J271)</f>
        <v>-6.9739457944882344E-2</v>
      </c>
      <c r="M271" s="3">
        <f>EXP(-E271*J271)*(D271*_xlfn.NORM.DIST(K271,0,1,TRUE)-G271*_xlfn.NORM.DIST(L271,0,1,TRUE))</f>
        <v>2303.5173393176228</v>
      </c>
      <c r="N271" s="3">
        <f>EXP(-E271*J271)*(G271*_xlfn.NORM.DIST(-L271,0,1,TRUE)-D271*_xlfn.NORM.DIST(-K271,0,1,TRUE))</f>
        <v>1151.2719121420375</v>
      </c>
      <c r="O271" s="3" t="b">
        <f>(M271-N271)=EXP(-E271*J271)*(D271-G271)</f>
        <v>1</v>
      </c>
    </row>
    <row r="272" spans="1:15" x14ac:dyDescent="0.3">
      <c r="A272" s="1">
        <v>45987</v>
      </c>
      <c r="B272" t="s">
        <v>6</v>
      </c>
      <c r="C272">
        <v>6812.61</v>
      </c>
      <c r="D272">
        <v>9832.7023300000001</v>
      </c>
      <c r="E272" s="2">
        <v>3.6097009976495141E-2</v>
      </c>
      <c r="F272" s="1">
        <v>49664</v>
      </c>
      <c r="G272">
        <v>8856.393</v>
      </c>
      <c r="H272">
        <v>0.20799699999999999</v>
      </c>
      <c r="J272" s="3">
        <f t="shared" si="4"/>
        <v>10.073972602739726</v>
      </c>
      <c r="K272" s="3">
        <f>(LN(D272/G272)+H272^2*J272/2)/(H272*SQRT(J272))</f>
        <v>0.48849066400582863</v>
      </c>
      <c r="L272" s="3">
        <f>K272-H272*SQRT(J272)</f>
        <v>-0.1716818728796351</v>
      </c>
      <c r="M272" s="3">
        <f>EXP(-E272*J272)*(D272*_xlfn.NORM.DIST(K272,0,1,TRUE)-G272*_xlfn.NORM.DIST(L272,0,1,TRUE))</f>
        <v>2039.8289520842568</v>
      </c>
      <c r="N272" s="3">
        <f>EXP(-E272*J272)*(G272*_xlfn.NORM.DIST(-L272,0,1,TRUE)-D272*_xlfn.NORM.DIST(-K272,0,1,TRUE))</f>
        <v>1361.1561135077122</v>
      </c>
      <c r="O272" s="3" t="b">
        <f>(M272-N272)=EXP(-E272*J272)*(D272-G272)</f>
        <v>0</v>
      </c>
    </row>
    <row r="273" spans="1:15" x14ac:dyDescent="0.3">
      <c r="A273" s="1">
        <v>45987</v>
      </c>
      <c r="B273" t="s">
        <v>6</v>
      </c>
      <c r="C273">
        <v>6812.61</v>
      </c>
      <c r="D273">
        <v>9832.7023300000001</v>
      </c>
      <c r="E273" s="2">
        <v>3.6097009976495141E-2</v>
      </c>
      <c r="F273" s="1">
        <v>49664</v>
      </c>
      <c r="G273">
        <v>9537.6539999999986</v>
      </c>
      <c r="H273">
        <v>0.20171700000000001</v>
      </c>
      <c r="J273" s="3">
        <f t="shared" si="4"/>
        <v>10.073972602739726</v>
      </c>
      <c r="K273" s="3">
        <f>(LN(D273/G273)+H273^2*J273/2)/(H273*SQRT(J273))</f>
        <v>0.36770573568509596</v>
      </c>
      <c r="L273" s="3">
        <f>K273-H273*SQRT(J273)</f>
        <v>-0.27253438134988578</v>
      </c>
      <c r="M273" s="3">
        <f>EXP(-E273*J273)*(D273*_xlfn.NORM.DIST(K273,0,1,TRUE)-G273*_xlfn.NORM.DIST(L273,0,1,TRUE))</f>
        <v>1795.0994115954184</v>
      </c>
      <c r="N273" s="3">
        <f>EXP(-E273*J273)*(G273*_xlfn.NORM.DIST(-L273,0,1,TRUE)-D273*_xlfn.NORM.DIST(-K273,0,1,TRUE))</f>
        <v>1589.9991616179136</v>
      </c>
      <c r="O273" s="3" t="b">
        <f>(M273-N273)=EXP(-E273*J273)*(D273-G273)</f>
        <v>0</v>
      </c>
    </row>
    <row r="274" spans="1:15" x14ac:dyDescent="0.3">
      <c r="A274" s="1">
        <v>45987</v>
      </c>
      <c r="B274" t="s">
        <v>6</v>
      </c>
      <c r="C274">
        <v>6812.61</v>
      </c>
      <c r="D274">
        <v>9832.7023300000001</v>
      </c>
      <c r="E274" s="2">
        <v>3.6097009976495141E-2</v>
      </c>
      <c r="F274" s="1">
        <v>49664</v>
      </c>
      <c r="G274">
        <v>10218.915000000001</v>
      </c>
      <c r="H274">
        <v>0.19578300000000001</v>
      </c>
      <c r="J274" s="3">
        <f t="shared" si="4"/>
        <v>10.073972602739726</v>
      </c>
      <c r="K274" s="3">
        <f>(LN(D274/G274)+H274^2*J274/2)/(H274*SQRT(J274))</f>
        <v>0.24870383204851812</v>
      </c>
      <c r="L274" s="3">
        <f>K274-H274*SQRT(J274)</f>
        <v>-0.37270205259908151</v>
      </c>
      <c r="M274" s="3">
        <f>EXP(-E274*J274)*(D274*_xlfn.NORM.DIST(K274,0,1,TRUE)-G274*_xlfn.NORM.DIST(L274,0,1,TRUE))</f>
        <v>1569.2641103930152</v>
      </c>
      <c r="N274" s="3">
        <f>EXP(-E274*J274)*(G274*_xlfn.NORM.DIST(-L274,0,1,TRUE)-D274*_xlfn.NORM.DIST(-K274,0,1,TRUE))</f>
        <v>1837.7364490145533</v>
      </c>
      <c r="O274" s="3" t="b">
        <f>(M274-N274)=EXP(-E274*J274)*(D274-G274)</f>
        <v>1</v>
      </c>
    </row>
    <row r="275" spans="1:15" x14ac:dyDescent="0.3">
      <c r="A275" s="1">
        <v>45987</v>
      </c>
      <c r="B275" t="s">
        <v>6</v>
      </c>
      <c r="C275">
        <v>6812.61</v>
      </c>
      <c r="D275">
        <v>10290.939700000001</v>
      </c>
      <c r="E275" s="2">
        <v>3.6761039225906601E-2</v>
      </c>
      <c r="F275" s="1">
        <v>50028</v>
      </c>
      <c r="G275">
        <v>3406.3049999999998</v>
      </c>
      <c r="H275">
        <v>0.28215699999999999</v>
      </c>
      <c r="J275" s="3">
        <f t="shared" si="4"/>
        <v>11.07123287671233</v>
      </c>
      <c r="K275" s="3">
        <f>(LN(D275/G275)+H275^2*J275/2)/(H275*SQRT(J275))</f>
        <v>1.6470860251812593</v>
      </c>
      <c r="L275" s="3">
        <f>K275-H275*SQRT(J275)</f>
        <v>0.70825199740464673</v>
      </c>
      <c r="M275" s="3">
        <f>EXP(-E275*J275)*(D275*_xlfn.NORM.DIST(K275,0,1,TRUE)-G275*_xlfn.NORM.DIST(L275,0,1,TRUE))</f>
        <v>4784.6336347596325</v>
      </c>
      <c r="N275" s="3">
        <f>EXP(-E275*J275)*(G275*_xlfn.NORM.DIST(-L275,0,1,TRUE)-D275*_xlfn.NORM.DIST(-K275,0,1,TRUE))</f>
        <v>201.87083638299208</v>
      </c>
      <c r="O275" s="3" t="b">
        <f>(M275-N275)=EXP(-E275*J275)*(D275-G275)</f>
        <v>1</v>
      </c>
    </row>
    <row r="276" spans="1:15" x14ac:dyDescent="0.3">
      <c r="A276" s="1">
        <v>45987</v>
      </c>
      <c r="B276" t="s">
        <v>6</v>
      </c>
      <c r="C276">
        <v>6812.61</v>
      </c>
      <c r="D276">
        <v>10290.939700000001</v>
      </c>
      <c r="E276" s="2">
        <v>3.6761039225906601E-2</v>
      </c>
      <c r="F276" s="1">
        <v>50028</v>
      </c>
      <c r="G276">
        <v>4087.5659999999998</v>
      </c>
      <c r="H276">
        <v>0.26974599999999999</v>
      </c>
      <c r="J276" s="3">
        <f t="shared" si="4"/>
        <v>11.07123287671233</v>
      </c>
      <c r="K276" s="3">
        <f>(LN(D276/G276)+H276^2*J276/2)/(H276*SQRT(J276))</f>
        <v>1.4774875510420629</v>
      </c>
      <c r="L276" s="3">
        <f>K276-H276*SQRT(J276)</f>
        <v>0.57994921721858816</v>
      </c>
      <c r="M276" s="3">
        <f>EXP(-E276*J276)*(D276*_xlfn.NORM.DIST(K276,0,1,TRUE)-G276*_xlfn.NORM.DIST(L276,0,1,TRUE))</f>
        <v>4415.828208687708</v>
      </c>
      <c r="N276" s="3">
        <f>EXP(-E276*J276)*(G276*_xlfn.NORM.DIST(-L276,0,1,TRUE)-D276*_xlfn.NORM.DIST(-K276,0,1,TRUE))</f>
        <v>286.54736001928785</v>
      </c>
      <c r="O276" s="3" t="b">
        <f>(M276-N276)=EXP(-E276*J276)*(D276-G276)</f>
        <v>1</v>
      </c>
    </row>
    <row r="277" spans="1:15" x14ac:dyDescent="0.3">
      <c r="A277" s="1">
        <v>45987</v>
      </c>
      <c r="B277" t="s">
        <v>6</v>
      </c>
      <c r="C277">
        <v>6812.61</v>
      </c>
      <c r="D277">
        <v>10290.939700000001</v>
      </c>
      <c r="E277" s="2">
        <v>3.6761039225906601E-2</v>
      </c>
      <c r="F277" s="1">
        <v>50028</v>
      </c>
      <c r="G277">
        <v>4768.8269999999993</v>
      </c>
      <c r="H277">
        <v>0.25901400000000002</v>
      </c>
      <c r="J277" s="3">
        <f t="shared" si="4"/>
        <v>11.07123287671233</v>
      </c>
      <c r="K277" s="3">
        <f>(LN(D277/G277)+H277^2*J277/2)/(H277*SQRT(J277))</f>
        <v>1.3233924594563882</v>
      </c>
      <c r="L277" s="3">
        <f>K277-H277*SQRT(J277)</f>
        <v>0.46156320528040962</v>
      </c>
      <c r="M277" s="3">
        <f>EXP(-E277*J277)*(D277*_xlfn.NORM.DIST(K277,0,1,TRUE)-G277*_xlfn.NORM.DIST(L277,0,1,TRUE))</f>
        <v>4062.5181976512481</v>
      </c>
      <c r="N277" s="3">
        <f>EXP(-E277*J277)*(G277*_xlfn.NORM.DIST(-L277,0,1,TRUE)-D277*_xlfn.NORM.DIST(-K277,0,1,TRUE))</f>
        <v>386.7192986910477</v>
      </c>
      <c r="O277" s="3" t="b">
        <f>(M277-N277)=EXP(-E277*J277)*(D277-G277)</f>
        <v>1</v>
      </c>
    </row>
    <row r="278" spans="1:15" x14ac:dyDescent="0.3">
      <c r="A278" s="1">
        <v>45987</v>
      </c>
      <c r="B278" t="s">
        <v>6</v>
      </c>
      <c r="C278">
        <v>6812.61</v>
      </c>
      <c r="D278">
        <v>10290.939700000001</v>
      </c>
      <c r="E278" s="2">
        <v>3.6761039225906601E-2</v>
      </c>
      <c r="F278" s="1">
        <v>50028</v>
      </c>
      <c r="G278">
        <v>5450.0879999999997</v>
      </c>
      <c r="H278">
        <v>0.24952099999999999</v>
      </c>
      <c r="J278" s="3">
        <f t="shared" si="4"/>
        <v>11.07123287671233</v>
      </c>
      <c r="K278" s="3">
        <f>(LN(D278/G278)+H278^2*J278/2)/(H278*SQRT(J278))</f>
        <v>1.1807192796335264</v>
      </c>
      <c r="L278" s="3">
        <f>K278-H278*SQRT(J278)</f>
        <v>0.35047652313679523</v>
      </c>
      <c r="M278" s="3">
        <f>EXP(-E278*J278)*(D278*_xlfn.NORM.DIST(K278,0,1,TRUE)-G278*_xlfn.NORM.DIST(L278,0,1,TRUE))</f>
        <v>3725.0024103166106</v>
      </c>
      <c r="N278" s="3">
        <f>EXP(-E278*J278)*(G278*_xlfn.NORM.DIST(-L278,0,1,TRUE)-D278*_xlfn.NORM.DIST(-K278,0,1,TRUE))</f>
        <v>502.68546106463009</v>
      </c>
      <c r="O278" s="3" t="b">
        <f>(M278-N278)=EXP(-E278*J278)*(D278-G278)</f>
        <v>1</v>
      </c>
    </row>
    <row r="279" spans="1:15" x14ac:dyDescent="0.3">
      <c r="A279" s="1">
        <v>45987</v>
      </c>
      <c r="B279" t="s">
        <v>6</v>
      </c>
      <c r="C279">
        <v>6812.61</v>
      </c>
      <c r="D279">
        <v>10290.939700000001</v>
      </c>
      <c r="E279" s="2">
        <v>3.6761039225906601E-2</v>
      </c>
      <c r="F279" s="1">
        <v>50028</v>
      </c>
      <c r="G279">
        <v>6131.3490000000002</v>
      </c>
      <c r="H279">
        <v>0.240981</v>
      </c>
      <c r="J279" s="3">
        <f t="shared" si="4"/>
        <v>11.07123287671233</v>
      </c>
      <c r="K279" s="3">
        <f>(LN(D279/G279)+H279^2*J279/2)/(H279*SQRT(J279))</f>
        <v>1.04674984940199</v>
      </c>
      <c r="L279" s="3">
        <f>K279-H279*SQRT(J279)</f>
        <v>0.24492262963556244</v>
      </c>
      <c r="M279" s="3">
        <f>EXP(-E279*J279)*(D279*_xlfn.NORM.DIST(K279,0,1,TRUE)-G279*_xlfn.NORM.DIST(L279,0,1,TRUE))</f>
        <v>3403.5309810926033</v>
      </c>
      <c r="N279" s="3">
        <f>EXP(-E279*J279)*(G279*_xlfn.NORM.DIST(-L279,0,1,TRUE)-D279*_xlfn.NORM.DIST(-K279,0,1,TRUE))</f>
        <v>634.69598154884409</v>
      </c>
      <c r="O279" s="3" t="b">
        <f>(M279-N279)=EXP(-E279*J279)*(D279-G279)</f>
        <v>1</v>
      </c>
    </row>
    <row r="280" spans="1:15" x14ac:dyDescent="0.3">
      <c r="A280" s="1">
        <v>45987</v>
      </c>
      <c r="B280" t="s">
        <v>6</v>
      </c>
      <c r="C280">
        <v>6812.61</v>
      </c>
      <c r="D280">
        <v>10290.939700000001</v>
      </c>
      <c r="E280" s="2">
        <v>3.6761039225906601E-2</v>
      </c>
      <c r="F280" s="1">
        <v>50028</v>
      </c>
      <c r="G280">
        <v>6471.9794999999995</v>
      </c>
      <c r="H280">
        <v>0.23700499999999999</v>
      </c>
      <c r="J280" s="3">
        <f t="shared" si="4"/>
        <v>11.07123287671233</v>
      </c>
      <c r="K280" s="3">
        <f>(LN(D280/G280)+H280^2*J280/2)/(H280*SQRT(J280))</f>
        <v>0.98240842322710142</v>
      </c>
      <c r="L280" s="3">
        <f>K280-H280*SQRT(J280)</f>
        <v>0.1938107320367497</v>
      </c>
      <c r="M280" s="3">
        <f>EXP(-E280*J280)*(D280*_xlfn.NORM.DIST(K280,0,1,TRUE)-G280*_xlfn.NORM.DIST(L280,0,1,TRUE))</f>
        <v>3248.8782384878982</v>
      </c>
      <c r="N280" s="3">
        <f>EXP(-E280*J280)*(G280*_xlfn.NORM.DIST(-L280,0,1,TRUE)-D280*_xlfn.NORM.DIST(-K280,0,1,TRUE))</f>
        <v>706.78421379824772</v>
      </c>
      <c r="O280" s="3" t="b">
        <f>(M280-N280)=EXP(-E280*J280)*(D280-G280)</f>
        <v>1</v>
      </c>
    </row>
    <row r="281" spans="1:15" x14ac:dyDescent="0.3">
      <c r="A281" s="1">
        <v>45987</v>
      </c>
      <c r="B281" t="s">
        <v>6</v>
      </c>
      <c r="C281">
        <v>6812.61</v>
      </c>
      <c r="D281">
        <v>10290.939700000001</v>
      </c>
      <c r="E281" s="2">
        <v>3.6761039225906601E-2</v>
      </c>
      <c r="F281" s="1">
        <v>50028</v>
      </c>
      <c r="G281">
        <v>6812.61</v>
      </c>
      <c r="H281">
        <v>0.23319799999999996</v>
      </c>
      <c r="J281" s="3">
        <f t="shared" si="4"/>
        <v>11.07123287671233</v>
      </c>
      <c r="K281" s="3">
        <f>(LN(D281/G281)+H281^2*J281/2)/(H281*SQRT(J281))</f>
        <v>0.91957028805444208</v>
      </c>
      <c r="L281" s="3">
        <f>K281-H281*SQRT(J281)</f>
        <v>0.14363980392875852</v>
      </c>
      <c r="M281" s="3">
        <f>EXP(-E281*J281)*(D281*_xlfn.NORM.DIST(K281,0,1,TRUE)-G281*_xlfn.NORM.DIST(L281,0,1,TRUE))</f>
        <v>3098.3035603457847</v>
      </c>
      <c r="N281" s="3">
        <f>EXP(-E281*J281)*(G281*_xlfn.NORM.DIST(-L281,0,1,TRUE)-D281*_xlfn.NORM.DIST(-K281,0,1,TRUE))</f>
        <v>782.95051051024529</v>
      </c>
      <c r="O281" s="3" t="b">
        <f>(M281-N281)=EXP(-E281*J281)*(D281-G281)</f>
        <v>1</v>
      </c>
    </row>
    <row r="282" spans="1:15" x14ac:dyDescent="0.3">
      <c r="A282" s="1">
        <v>45987</v>
      </c>
      <c r="B282" t="s">
        <v>6</v>
      </c>
      <c r="C282">
        <v>6812.61</v>
      </c>
      <c r="D282">
        <v>10290.939700000001</v>
      </c>
      <c r="E282" s="2">
        <v>3.6761039225906601E-2</v>
      </c>
      <c r="F282" s="1">
        <v>50028</v>
      </c>
      <c r="G282">
        <v>7153.240499999999</v>
      </c>
      <c r="H282">
        <v>0.229545</v>
      </c>
      <c r="J282" s="3">
        <f t="shared" si="4"/>
        <v>11.07123287671233</v>
      </c>
      <c r="K282" s="3">
        <f>(LN(D282/G282)+H282^2*J282/2)/(H282*SQRT(J282))</f>
        <v>0.85807267445343915</v>
      </c>
      <c r="L282" s="3">
        <f>K282-H282*SQRT(J282)</f>
        <v>9.4296986074336231E-2</v>
      </c>
      <c r="M282" s="3">
        <f>EXP(-E282*J282)*(D282*_xlfn.NORM.DIST(K282,0,1,TRUE)-G282*_xlfn.NORM.DIST(L282,0,1,TRUE))</f>
        <v>2951.829047602329</v>
      </c>
      <c r="N282" s="3">
        <f>EXP(-E282*J282)*(G282*_xlfn.NORM.DIST(-L282,0,1,TRUE)-D282*_xlfn.NORM.DIST(-K282,0,1,TRUE))</f>
        <v>863.21697262089879</v>
      </c>
      <c r="O282" s="3" t="b">
        <f>(M282-N282)=EXP(-E282*J282)*(D282-G282)</f>
        <v>1</v>
      </c>
    </row>
    <row r="283" spans="1:15" x14ac:dyDescent="0.3">
      <c r="A283" s="1">
        <v>45987</v>
      </c>
      <c r="B283" t="s">
        <v>6</v>
      </c>
      <c r="C283">
        <v>6812.61</v>
      </c>
      <c r="D283">
        <v>10290.939700000001</v>
      </c>
      <c r="E283" s="2">
        <v>3.6761039225906601E-2</v>
      </c>
      <c r="F283" s="1">
        <v>50028</v>
      </c>
      <c r="G283">
        <v>7493.8710000000001</v>
      </c>
      <c r="H283">
        <v>0.22603000000000001</v>
      </c>
      <c r="J283" s="3">
        <f t="shared" si="4"/>
        <v>11.07123287671233</v>
      </c>
      <c r="K283" s="3">
        <f>(LN(D283/G283)+H283^2*J283/2)/(H283*SQRT(J283))</f>
        <v>0.79777489237973298</v>
      </c>
      <c r="L283" s="3">
        <f>K283-H283*SQRT(J283)</f>
        <v>4.569482596866481E-2</v>
      </c>
      <c r="M283" s="3">
        <f>EXP(-E283*J283)*(D283*_xlfn.NORM.DIST(K283,0,1,TRUE)-G283*_xlfn.NORM.DIST(L283,0,1,TRUE))</f>
        <v>2809.4531785096533</v>
      </c>
      <c r="N283" s="3">
        <f>EXP(-E283*J283)*(G283*_xlfn.NORM.DIST(-L283,0,1,TRUE)-D283*_xlfn.NORM.DIST(-K283,0,1,TRUE))</f>
        <v>947.58207838233477</v>
      </c>
      <c r="O283" s="3" t="b">
        <f>(M283-N283)=EXP(-E283*J283)*(D283-G283)</f>
        <v>1</v>
      </c>
    </row>
    <row r="284" spans="1:15" x14ac:dyDescent="0.3">
      <c r="A284" s="1">
        <v>45987</v>
      </c>
      <c r="B284" t="s">
        <v>6</v>
      </c>
      <c r="C284">
        <v>6812.61</v>
      </c>
      <c r="D284">
        <v>10290.939700000001</v>
      </c>
      <c r="E284" s="2">
        <v>3.6761039225906601E-2</v>
      </c>
      <c r="F284" s="1">
        <v>50028</v>
      </c>
      <c r="G284">
        <v>8175.1319999999996</v>
      </c>
      <c r="H284">
        <v>0.21937200000000001</v>
      </c>
      <c r="J284" s="3">
        <f t="shared" si="4"/>
        <v>11.07123287671233</v>
      </c>
      <c r="K284" s="3">
        <f>(LN(D284/G284)+H284^2*J284/2)/(H284*SQRT(J284))</f>
        <v>0.68029227098305667</v>
      </c>
      <c r="L284" s="3">
        <f>K284-H284*SQRT(J284)</f>
        <v>-4.9634324286283005E-2</v>
      </c>
      <c r="M284" s="3">
        <f>EXP(-E284*J284)*(D284*_xlfn.NORM.DIST(K284,0,1,TRUE)-G284*_xlfn.NORM.DIST(L284,0,1,TRUE))</f>
        <v>2537.0538052970596</v>
      </c>
      <c r="N284" s="3">
        <f>EXP(-E284*J284)*(G284*_xlfn.NORM.DIST(-L284,0,1,TRUE)-D284*_xlfn.NORM.DIST(-K284,0,1,TRUE))</f>
        <v>1128.6646548779609</v>
      </c>
      <c r="O284" s="3" t="b">
        <f>(M284-N284)=EXP(-E284*J284)*(D284-G284)</f>
        <v>1</v>
      </c>
    </row>
    <row r="285" spans="1:15" x14ac:dyDescent="0.3">
      <c r="A285" s="1">
        <v>45987</v>
      </c>
      <c r="B285" t="s">
        <v>6</v>
      </c>
      <c r="C285">
        <v>6812.61</v>
      </c>
      <c r="D285">
        <v>10290.939700000001</v>
      </c>
      <c r="E285" s="2">
        <v>3.6761039225906601E-2</v>
      </c>
      <c r="F285" s="1">
        <v>50028</v>
      </c>
      <c r="G285">
        <v>8856.393</v>
      </c>
      <c r="H285">
        <v>0.213144</v>
      </c>
      <c r="J285" s="3">
        <f t="shared" si="4"/>
        <v>11.07123287671233</v>
      </c>
      <c r="K285" s="3">
        <f>(LN(D285/G285)+H285^2*J285/2)/(H285*SQRT(J285))</f>
        <v>0.56628196727451552</v>
      </c>
      <c r="L285" s="3">
        <f>K285-H285*SQRT(J285)</f>
        <v>-0.14292191572827484</v>
      </c>
      <c r="M285" s="3">
        <f>EXP(-E285*J285)*(D285*_xlfn.NORM.DIST(K285,0,1,TRUE)-G285*_xlfn.NORM.DIST(L285,0,1,TRUE))</f>
        <v>2281.1163440121486</v>
      </c>
      <c r="N285" s="3">
        <f>EXP(-E285*J285)*(G285*_xlfn.NORM.DIST(-L285,0,1,TRUE)-D285*_xlfn.NORM.DIST(-K285,0,1,TRUE))</f>
        <v>1326.2091433012702</v>
      </c>
      <c r="O285" s="3" t="b">
        <f>(M285-N285)=EXP(-E285*J285)*(D285-G285)</f>
        <v>1</v>
      </c>
    </row>
    <row r="286" spans="1:15" x14ac:dyDescent="0.3">
      <c r="A286" s="1">
        <v>45987</v>
      </c>
      <c r="B286" t="s">
        <v>6</v>
      </c>
      <c r="C286">
        <v>6812.61</v>
      </c>
      <c r="D286">
        <v>10290.939700000001</v>
      </c>
      <c r="E286" s="2">
        <v>3.6761039225906601E-2</v>
      </c>
      <c r="F286" s="1">
        <v>50028</v>
      </c>
      <c r="G286">
        <v>9537.6539999999986</v>
      </c>
      <c r="H286">
        <v>0.207283</v>
      </c>
      <c r="J286" s="3">
        <f t="shared" si="4"/>
        <v>11.07123287671233</v>
      </c>
      <c r="K286" s="3">
        <f>(LN(D286/G286)+H286^2*J286/2)/(H286*SQRT(J286))</f>
        <v>0.45506729060747797</v>
      </c>
      <c r="L286" s="3">
        <f>K286-H286*SQRT(J286)</f>
        <v>-0.23463501619199745</v>
      </c>
      <c r="M286" s="3">
        <f>EXP(-E286*J286)*(D286*_xlfn.NORM.DIST(K286,0,1,TRUE)-G286*_xlfn.NORM.DIST(L286,0,1,TRUE))</f>
        <v>2041.5811768463791</v>
      </c>
      <c r="N286" s="3">
        <f>EXP(-E286*J286)*(G286*_xlfn.NORM.DIST(-L286,0,1,TRUE)-D286*_xlfn.NORM.DIST(-K286,0,1,TRUE))</f>
        <v>1540.1559258437198</v>
      </c>
      <c r="O286" s="3" t="b">
        <f>(M286-N286)=EXP(-E286*J286)*(D286-G286)</f>
        <v>1</v>
      </c>
    </row>
    <row r="287" spans="1:15" x14ac:dyDescent="0.3">
      <c r="A287" s="1">
        <v>45987</v>
      </c>
      <c r="B287" t="s">
        <v>6</v>
      </c>
      <c r="C287">
        <v>6812.61</v>
      </c>
      <c r="D287">
        <v>10290.939700000001</v>
      </c>
      <c r="E287" s="2">
        <v>3.6761039225906601E-2</v>
      </c>
      <c r="F287" s="1">
        <v>50028</v>
      </c>
      <c r="G287">
        <v>10218.915000000001</v>
      </c>
      <c r="H287">
        <v>0.201738</v>
      </c>
      <c r="J287" s="3">
        <f t="shared" si="4"/>
        <v>11.07123287671233</v>
      </c>
      <c r="K287" s="3">
        <f>(LN(D287/G287)+H287^2*J287/2)/(H287*SQRT(J287))</f>
        <v>0.34608929622919415</v>
      </c>
      <c r="L287" s="3">
        <f>K287-H287*SQRT(J287)</f>
        <v>-0.32516287577291203</v>
      </c>
      <c r="M287" s="3">
        <f>EXP(-E287*J287)*(D287*_xlfn.NORM.DIST(K287,0,1,TRUE)-G287*_xlfn.NORM.DIST(L287,0,1,TRUE))</f>
        <v>1818.3136822862793</v>
      </c>
      <c r="N287" s="3">
        <f>EXP(-E287*J287)*(G287*_xlfn.NORM.DIST(-L287,0,1,TRUE)-D287*_xlfn.NORM.DIST(-K287,0,1,TRUE))</f>
        <v>1770.3703809918422</v>
      </c>
      <c r="O287" s="3" t="b">
        <f>(M287-N287)=EXP(-E287*J287)*(D287-G287)</f>
        <v>0</v>
      </c>
    </row>
    <row r="288" spans="1:15" x14ac:dyDescent="0.3">
      <c r="A288" s="1">
        <v>45987</v>
      </c>
      <c r="B288" t="s">
        <v>6</v>
      </c>
      <c r="C288">
        <v>6812.61</v>
      </c>
      <c r="D288">
        <v>10781.420899999999</v>
      </c>
      <c r="E288" s="2">
        <v>3.7392501788643014E-2</v>
      </c>
      <c r="F288" s="1">
        <v>50392</v>
      </c>
      <c r="G288">
        <v>3406.3049999999998</v>
      </c>
      <c r="H288">
        <v>0.28298099999999998</v>
      </c>
      <c r="J288" s="3">
        <f t="shared" si="4"/>
        <v>12.068493150684931</v>
      </c>
      <c r="K288" s="3">
        <f>(LN(D288/G288)+H288^2*J288/2)/(H288*SQRT(J288))</f>
        <v>1.6635748634036791</v>
      </c>
      <c r="L288" s="3">
        <f>K288-H288*SQRT(J288)</f>
        <v>0.68050631659395178</v>
      </c>
      <c r="M288" s="3">
        <f>EXP(-E288*J288)*(D288*_xlfn.NORM.DIST(K288,0,1,TRUE)-G288*_xlfn.NORM.DIST(L288,0,1,TRUE))</f>
        <v>4904.5315867399077</v>
      </c>
      <c r="N288" s="3">
        <f>EXP(-E288*J288)*(G288*_xlfn.NORM.DIST(-L288,0,1,TRUE)-D288*_xlfn.NORM.DIST(-K288,0,1,TRUE))</f>
        <v>207.92396435928967</v>
      </c>
      <c r="O288" s="3" t="b">
        <f>(M288-N288)=EXP(-E288*J288)*(D288-G288)</f>
        <v>1</v>
      </c>
    </row>
    <row r="289" spans="1:15" x14ac:dyDescent="0.3">
      <c r="A289" s="1">
        <v>45987</v>
      </c>
      <c r="B289" t="s">
        <v>6</v>
      </c>
      <c r="C289">
        <v>6812.61</v>
      </c>
      <c r="D289">
        <v>10781.420899999999</v>
      </c>
      <c r="E289" s="2">
        <v>3.7392501788643014E-2</v>
      </c>
      <c r="F289" s="1">
        <v>50392</v>
      </c>
      <c r="G289">
        <v>4087.5659999999998</v>
      </c>
      <c r="H289">
        <v>0.27127299999999999</v>
      </c>
      <c r="J289" s="3">
        <f t="shared" si="4"/>
        <v>12.068493150684931</v>
      </c>
      <c r="K289" s="3">
        <f>(LN(D289/G289)+H289^2*J289/2)/(H289*SQRT(J289))</f>
        <v>1.5003567549984789</v>
      </c>
      <c r="L289" s="3">
        <f>K289-H289*SQRT(J289)</f>
        <v>0.5579614920701722</v>
      </c>
      <c r="M289" s="3">
        <f>EXP(-E289*J289)*(D289*_xlfn.NORM.DIST(K289,0,1,TRUE)-G289*_xlfn.NORM.DIST(L289,0,1,TRUE))</f>
        <v>4555.2078631662498</v>
      </c>
      <c r="N289" s="3">
        <f>EXP(-E289*J289)*(G289*_xlfn.NORM.DIST(-L289,0,1,TRUE)-D289*_xlfn.NORM.DIST(-K289,0,1,TRUE))</f>
        <v>292.43960667690436</v>
      </c>
      <c r="O289" s="3" t="b">
        <f>(M289-N289)=EXP(-E289*J289)*(D289-G289)</f>
        <v>0</v>
      </c>
    </row>
    <row r="290" spans="1:15" x14ac:dyDescent="0.3">
      <c r="A290" s="1">
        <v>45987</v>
      </c>
      <c r="B290" t="s">
        <v>6</v>
      </c>
      <c r="C290">
        <v>6812.61</v>
      </c>
      <c r="D290">
        <v>10781.420899999999</v>
      </c>
      <c r="E290" s="2">
        <v>3.7392501788643014E-2</v>
      </c>
      <c r="F290" s="1">
        <v>50392</v>
      </c>
      <c r="G290">
        <v>4768.8269999999993</v>
      </c>
      <c r="H290">
        <v>0.26115100000000002</v>
      </c>
      <c r="J290" s="3">
        <f t="shared" si="4"/>
        <v>12.068493150684931</v>
      </c>
      <c r="K290" s="3">
        <f>(LN(D290/G290)+H290^2*J290/2)/(H290*SQRT(J290))</f>
        <v>1.3527511011250342</v>
      </c>
      <c r="L290" s="3">
        <f>K290-H290*SQRT(J290)</f>
        <v>0.44551939981679389</v>
      </c>
      <c r="M290" s="3">
        <f>EXP(-E290*J290)*(D290*_xlfn.NORM.DIST(K290,0,1,TRUE)-G290*_xlfn.NORM.DIST(L290,0,1,TRUE))</f>
        <v>4220.2849353228885</v>
      </c>
      <c r="N290" s="3">
        <f>EXP(-E290*J290)*(G290*_xlfn.NORM.DIST(-L290,0,1,TRUE)-D290*_xlfn.NORM.DIST(-K290,0,1,TRUE))</f>
        <v>391.35604472481543</v>
      </c>
      <c r="O290" s="3" t="b">
        <f>(M290-N290)=EXP(-E290*J290)*(D290-G290)</f>
        <v>1</v>
      </c>
    </row>
    <row r="291" spans="1:15" x14ac:dyDescent="0.3">
      <c r="A291" s="1">
        <v>45987</v>
      </c>
      <c r="B291" t="s">
        <v>6</v>
      </c>
      <c r="C291">
        <v>6812.61</v>
      </c>
      <c r="D291">
        <v>10781.420899999999</v>
      </c>
      <c r="E291" s="2">
        <v>3.7392501788643014E-2</v>
      </c>
      <c r="F291" s="1">
        <v>50392</v>
      </c>
      <c r="G291">
        <v>5450.0879999999997</v>
      </c>
      <c r="H291">
        <v>0.25219799999999998</v>
      </c>
      <c r="J291" s="3">
        <f t="shared" si="4"/>
        <v>12.068493150684931</v>
      </c>
      <c r="K291" s="3">
        <f>(LN(D291/G291)+H291^2*J291/2)/(H291*SQRT(J291))</f>
        <v>1.2167084407528452</v>
      </c>
      <c r="L291" s="3">
        <f>K291-H291*SQRT(J291)</f>
        <v>0.34057922582915923</v>
      </c>
      <c r="M291" s="3">
        <f>EXP(-E291*J291)*(D291*_xlfn.NORM.DIST(K291,0,1,TRUE)-G291*_xlfn.NORM.DIST(L291,0,1,TRUE))</f>
        <v>3899.8437463031537</v>
      </c>
      <c r="N291" s="3">
        <f>EXP(-E291*J291)*(G291*_xlfn.NORM.DIST(-L291,0,1,TRUE)-D291*_xlfn.NORM.DIST(-K291,0,1,TRUE))</f>
        <v>504.7542215963536</v>
      </c>
      <c r="O291" s="3" t="b">
        <f>(M291-N291)=EXP(-E291*J291)*(D291-G291)</f>
        <v>1</v>
      </c>
    </row>
    <row r="292" spans="1:15" x14ac:dyDescent="0.3">
      <c r="A292" s="1">
        <v>45987</v>
      </c>
      <c r="B292" t="s">
        <v>6</v>
      </c>
      <c r="C292">
        <v>6812.61</v>
      </c>
      <c r="D292">
        <v>10781.420899999999</v>
      </c>
      <c r="E292" s="2">
        <v>3.7392501788643014E-2</v>
      </c>
      <c r="F292" s="1">
        <v>50392</v>
      </c>
      <c r="G292">
        <v>6131.3490000000002</v>
      </c>
      <c r="H292">
        <v>0.244146</v>
      </c>
      <c r="J292" s="3">
        <f t="shared" si="4"/>
        <v>12.068493150684931</v>
      </c>
      <c r="K292" s="3">
        <f>(LN(D292/G292)+H292^2*J292/2)/(H292*SQRT(J292))</f>
        <v>1.0895326884293841</v>
      </c>
      <c r="L292" s="3">
        <f>K292-H292*SQRT(J292)</f>
        <v>0.24137590960180311</v>
      </c>
      <c r="M292" s="3">
        <f>EXP(-E292*J292)*(D292*_xlfn.NORM.DIST(K292,0,1,TRUE)-G292*_xlfn.NORM.DIST(L292,0,1,TRUE))</f>
        <v>3593.9542323823075</v>
      </c>
      <c r="N292" s="3">
        <f>EXP(-E292*J292)*(G292*_xlfn.NORM.DIST(-L292,0,1,TRUE)-D292*_xlfn.NORM.DIST(-K292,0,1,TRUE))</f>
        <v>632.70407356678072</v>
      </c>
      <c r="O292" s="3" t="b">
        <f>(M292-N292)=EXP(-E292*J292)*(D292-G292)</f>
        <v>1</v>
      </c>
    </row>
    <row r="293" spans="1:15" x14ac:dyDescent="0.3">
      <c r="A293" s="1">
        <v>45987</v>
      </c>
      <c r="B293" t="s">
        <v>6</v>
      </c>
      <c r="C293">
        <v>6812.61</v>
      </c>
      <c r="D293">
        <v>10781.420899999999</v>
      </c>
      <c r="E293" s="2">
        <v>3.7392501788643014E-2</v>
      </c>
      <c r="F293" s="1">
        <v>50392</v>
      </c>
      <c r="G293">
        <v>6471.9794999999995</v>
      </c>
      <c r="H293">
        <v>0.240397</v>
      </c>
      <c r="J293" s="3">
        <f t="shared" si="4"/>
        <v>12.068493150684931</v>
      </c>
      <c r="K293" s="3">
        <f>(LN(D293/G293)+H293^2*J293/2)/(H293*SQRT(J293))</f>
        <v>1.0286576461769115</v>
      </c>
      <c r="L293" s="3">
        <f>K293-H293*SQRT(J293)</f>
        <v>0.19352479468717176</v>
      </c>
      <c r="M293" s="3">
        <f>EXP(-E293*J293)*(D293*_xlfn.NORM.DIST(K293,0,1,TRUE)-G293*_xlfn.NORM.DIST(L293,0,1,TRUE))</f>
        <v>3446.4748107087103</v>
      </c>
      <c r="N293" s="3">
        <f>EXP(-E293*J293)*(G293*_xlfn.NORM.DIST(-L293,0,1,TRUE)-D293*_xlfn.NORM.DIST(-K293,0,1,TRUE))</f>
        <v>702.14433483881953</v>
      </c>
      <c r="O293" s="3" t="b">
        <f>(M293-N293)=EXP(-E293*J293)*(D293-G293)</f>
        <v>1</v>
      </c>
    </row>
    <row r="294" spans="1:15" x14ac:dyDescent="0.3">
      <c r="A294" s="1">
        <v>45987</v>
      </c>
      <c r="B294" t="s">
        <v>6</v>
      </c>
      <c r="C294">
        <v>6812.61</v>
      </c>
      <c r="D294">
        <v>10781.420899999999</v>
      </c>
      <c r="E294" s="2">
        <v>3.7392501788643014E-2</v>
      </c>
      <c r="F294" s="1">
        <v>50392</v>
      </c>
      <c r="G294">
        <v>6812.61</v>
      </c>
      <c r="H294">
        <v>0.23680699999999999</v>
      </c>
      <c r="J294" s="3">
        <f t="shared" si="4"/>
        <v>12.068493150684931</v>
      </c>
      <c r="K294" s="3">
        <f>(LN(D294/G294)+H294^2*J294/2)/(H294*SQRT(J294))</f>
        <v>0.9693355799880905</v>
      </c>
      <c r="L294" s="3">
        <f>K294-H294*SQRT(J294)</f>
        <v>0.14667429402058352</v>
      </c>
      <c r="M294" s="3">
        <f>EXP(-E294*J294)*(D294*_xlfn.NORM.DIST(K294,0,1,TRUE)-G294*_xlfn.NORM.DIST(L294,0,1,TRUE))</f>
        <v>3302.6352190077532</v>
      </c>
      <c r="N294" s="3">
        <f>EXP(-E294*J294)*(G294*_xlfn.NORM.DIST(-L294,0,1,TRUE)-D294*_xlfn.NORM.DIST(-K294,0,1,TRUE))</f>
        <v>775.22442608349809</v>
      </c>
      <c r="O294" s="3" t="b">
        <f>(M294-N294)=EXP(-E294*J294)*(D294-G294)</f>
        <v>1</v>
      </c>
    </row>
    <row r="295" spans="1:15" x14ac:dyDescent="0.3">
      <c r="A295" s="1">
        <v>45987</v>
      </c>
      <c r="B295" t="s">
        <v>6</v>
      </c>
      <c r="C295">
        <v>6812.61</v>
      </c>
      <c r="D295">
        <v>10781.420899999999</v>
      </c>
      <c r="E295" s="2">
        <v>3.7392501788643014E-2</v>
      </c>
      <c r="F295" s="1">
        <v>50392</v>
      </c>
      <c r="G295">
        <v>7153.240499999999</v>
      </c>
      <c r="H295">
        <v>0.23336200000000001</v>
      </c>
      <c r="J295" s="3">
        <f t="shared" si="4"/>
        <v>12.068493150684931</v>
      </c>
      <c r="K295" s="3">
        <f>(LN(D295/G295)+H295^2*J295/2)/(H295*SQRT(J295))</f>
        <v>0.91140594531594465</v>
      </c>
      <c r="L295" s="3">
        <f>K295-H295*SQRT(J295)</f>
        <v>0.10071249868662469</v>
      </c>
      <c r="M295" s="3">
        <f>EXP(-E295*J295)*(D295*_xlfn.NORM.DIST(K295,0,1,TRUE)-G295*_xlfn.NORM.DIST(L295,0,1,TRUE))</f>
        <v>3162.4407139094246</v>
      </c>
      <c r="N295" s="3">
        <f>EXP(-E295*J295)*(G295*_xlfn.NORM.DIST(-L295,0,1,TRUE)-D295*_xlfn.NORM.DIST(-K295,0,1,TRUE))</f>
        <v>851.9496039308051</v>
      </c>
      <c r="O295" s="3" t="b">
        <f>(M295-N295)=EXP(-E295*J295)*(D295-G295)</f>
        <v>1</v>
      </c>
    </row>
    <row r="296" spans="1:15" x14ac:dyDescent="0.3">
      <c r="A296" s="1">
        <v>45987</v>
      </c>
      <c r="B296" t="s">
        <v>6</v>
      </c>
      <c r="C296">
        <v>6812.61</v>
      </c>
      <c r="D296">
        <v>10781.420899999999</v>
      </c>
      <c r="E296" s="2">
        <v>3.7392501788643014E-2</v>
      </c>
      <c r="F296" s="1">
        <v>50392</v>
      </c>
      <c r="G296">
        <v>7493.8710000000001</v>
      </c>
      <c r="H296">
        <v>0.230048</v>
      </c>
      <c r="J296" s="3">
        <f t="shared" si="4"/>
        <v>12.068493150684931</v>
      </c>
      <c r="K296" s="3">
        <f>(LN(D296/G296)+H296^2*J296/2)/(H296*SQRT(J296))</f>
        <v>0.8547300691744828</v>
      </c>
      <c r="L296" s="3">
        <f>K296-H296*SQRT(J296)</f>
        <v>5.5549371330867348E-2</v>
      </c>
      <c r="M296" s="3">
        <f>EXP(-E296*J296)*(D296*_xlfn.NORM.DIST(K296,0,1,TRUE)-G296*_xlfn.NORM.DIST(L296,0,1,TRUE))</f>
        <v>3025.8821180534183</v>
      </c>
      <c r="N296" s="3">
        <f>EXP(-E296*J296)*(G296*_xlfn.NORM.DIST(-L296,0,1,TRUE)-D296*_xlfn.NORM.DIST(-K296,0,1,TRUE))</f>
        <v>932.31069102043705</v>
      </c>
      <c r="O296" s="3" t="b">
        <f>(M296-N296)=EXP(-E296*J296)*(D296-G296)</f>
        <v>1</v>
      </c>
    </row>
    <row r="297" spans="1:15" x14ac:dyDescent="0.3">
      <c r="A297" s="1">
        <v>45987</v>
      </c>
      <c r="B297" t="s">
        <v>6</v>
      </c>
      <c r="C297">
        <v>6812.61</v>
      </c>
      <c r="D297">
        <v>10781.420899999999</v>
      </c>
      <c r="E297" s="2">
        <v>3.7392501788643014E-2</v>
      </c>
      <c r="F297" s="1">
        <v>50392</v>
      </c>
      <c r="G297">
        <v>8175.1319999999996</v>
      </c>
      <c r="H297">
        <v>0.223769</v>
      </c>
      <c r="J297" s="3">
        <f t="shared" si="4"/>
        <v>12.068493150684931</v>
      </c>
      <c r="K297" s="3">
        <f>(LN(D297/G297)+H297^2*J297/2)/(H297*SQRT(J297))</f>
        <v>0.74466403742831111</v>
      </c>
      <c r="L297" s="3">
        <f>K297-H297*SQRT(J297)</f>
        <v>-3.270357965928794E-2</v>
      </c>
      <c r="M297" s="3">
        <f>EXP(-E297*J297)*(D297*_xlfn.NORM.DIST(K297,0,1,TRUE)-G297*_xlfn.NORM.DIST(L297,0,1,TRUE))</f>
        <v>2763.6454370774868</v>
      </c>
      <c r="N297" s="3">
        <f>EXP(-E297*J297)*(G297*_xlfn.NORM.DIST(-L297,0,1,TRUE)-D297*_xlfn.NORM.DIST(-K297,0,1,TRUE))</f>
        <v>1103.9133759357769</v>
      </c>
      <c r="O297" s="3" t="b">
        <f>(M297-N297)=EXP(-E297*J297)*(D297-G297)</f>
        <v>1</v>
      </c>
    </row>
    <row r="298" spans="1:15" x14ac:dyDescent="0.3">
      <c r="A298" s="1">
        <v>45987</v>
      </c>
      <c r="B298" t="s">
        <v>6</v>
      </c>
      <c r="C298">
        <v>6812.61</v>
      </c>
      <c r="D298">
        <v>10781.420899999999</v>
      </c>
      <c r="E298" s="2">
        <v>3.7392501788643014E-2</v>
      </c>
      <c r="F298" s="1">
        <v>50392</v>
      </c>
      <c r="G298">
        <v>8856.393</v>
      </c>
      <c r="H298">
        <v>0.217894</v>
      </c>
      <c r="J298" s="3">
        <f t="shared" si="4"/>
        <v>12.068493150684931</v>
      </c>
      <c r="K298" s="3">
        <f>(LN(D298/G298)+H298^2*J298/2)/(H298*SQRT(J298))</f>
        <v>0.63831481276532898</v>
      </c>
      <c r="L298" s="3">
        <f>K298-H298*SQRT(J298)</f>
        <v>-0.11864320893421532</v>
      </c>
      <c r="M298" s="3">
        <f>EXP(-E298*J298)*(D298*_xlfn.NORM.DIST(K298,0,1,TRUE)-G298*_xlfn.NORM.DIST(L298,0,1,TRUE))</f>
        <v>2515.8402280688911</v>
      </c>
      <c r="N298" s="3">
        <f>EXP(-E298*J298)*(G298*_xlfn.NORM.DIST(-L298,0,1,TRUE)-D298*_xlfn.NORM.DIST(-K298,0,1,TRUE))</f>
        <v>1289.9475328184549</v>
      </c>
      <c r="O298" s="3" t="b">
        <f>(M298-N298)=EXP(-E298*J298)*(D298-G298)</f>
        <v>1</v>
      </c>
    </row>
    <row r="299" spans="1:15" x14ac:dyDescent="0.3">
      <c r="A299" s="1">
        <v>45987</v>
      </c>
      <c r="B299" t="s">
        <v>6</v>
      </c>
      <c r="C299">
        <v>6812.61</v>
      </c>
      <c r="D299">
        <v>10781.420899999999</v>
      </c>
      <c r="E299" s="2">
        <v>3.7392501788643014E-2</v>
      </c>
      <c r="F299" s="1">
        <v>50392</v>
      </c>
      <c r="G299">
        <v>9537.6539999999986</v>
      </c>
      <c r="H299">
        <v>0.212364</v>
      </c>
      <c r="J299" s="3">
        <f t="shared" si="4"/>
        <v>12.068493150684931</v>
      </c>
      <c r="K299" s="3">
        <f>(LN(D299/G299)+H299^2*J299/2)/(H299*SQRT(J299))</f>
        <v>0.53502370018206979</v>
      </c>
      <c r="L299" s="3">
        <f>K299-H299*SQRT(J299)</f>
        <v>-0.20272324705007982</v>
      </c>
      <c r="M299" s="3">
        <f>EXP(-E299*J299)*(D299*_xlfn.NORM.DIST(K299,0,1,TRUE)-G299*_xlfn.NORM.DIST(L299,0,1,TRUE))</f>
        <v>2282.3460893331539</v>
      </c>
      <c r="N299" s="3">
        <f>EXP(-E299*J299)*(G299*_xlfn.NORM.DIST(-L299,0,1,TRUE)-D299*_xlfn.NORM.DIST(-K299,0,1,TRUE))</f>
        <v>1490.2927599739894</v>
      </c>
      <c r="O299" s="3" t="b">
        <f>(M299-N299)=EXP(-E299*J299)*(D299-G299)</f>
        <v>1</v>
      </c>
    </row>
    <row r="300" spans="1:15" x14ac:dyDescent="0.3">
      <c r="A300" s="1">
        <v>45987</v>
      </c>
      <c r="B300" t="s">
        <v>6</v>
      </c>
      <c r="C300">
        <v>6812.61</v>
      </c>
      <c r="D300">
        <v>10781.420899999999</v>
      </c>
      <c r="E300" s="2">
        <v>3.7392501788643014E-2</v>
      </c>
      <c r="F300" s="1">
        <v>50392</v>
      </c>
      <c r="G300">
        <v>10218.915000000001</v>
      </c>
      <c r="H300">
        <v>0.20713000000000001</v>
      </c>
      <c r="J300" s="3">
        <f t="shared" si="4"/>
        <v>12.068493150684931</v>
      </c>
      <c r="K300" s="3">
        <f>(LN(D300/G300)+H300^2*J300/2)/(H300*SQRT(J300))</f>
        <v>0.43424931514512732</v>
      </c>
      <c r="L300" s="3">
        <f>K300-H300*SQRT(J300)</f>
        <v>-0.28531485382981736</v>
      </c>
      <c r="M300" s="3">
        <f>EXP(-E300*J300)*(D300*_xlfn.NORM.DIST(K300,0,1,TRUE)-G300*_xlfn.NORM.DIST(L300,0,1,TRUE))</f>
        <v>2062.9862831404225</v>
      </c>
      <c r="N300" s="3">
        <f>EXP(-E300*J300)*(G300*_xlfn.NORM.DIST(-L300,0,1,TRUE)-D300*_xlfn.NORM.DIST(-K300,0,1,TRUE))</f>
        <v>1704.7723196725315</v>
      </c>
      <c r="O300" s="3" t="b">
        <f>(M300-N300)=EXP(-E300*J300)*(D300-G300)</f>
        <v>1</v>
      </c>
    </row>
    <row r="301" spans="1:15" x14ac:dyDescent="0.3">
      <c r="A301" s="1">
        <v>45987</v>
      </c>
      <c r="B301" t="s">
        <v>6</v>
      </c>
      <c r="C301">
        <v>6812.61</v>
      </c>
      <c r="D301">
        <v>11298.072620000001</v>
      </c>
      <c r="E301" s="2">
        <v>3.7973438445791555E-2</v>
      </c>
      <c r="F301" s="1">
        <v>50756</v>
      </c>
      <c r="G301">
        <v>3406.3049999999998</v>
      </c>
      <c r="H301">
        <v>0.284493</v>
      </c>
      <c r="J301" s="3">
        <f t="shared" si="4"/>
        <v>13.065753424657535</v>
      </c>
      <c r="K301" s="3">
        <f>(LN(D301/G301)+H301^2*J301/2)/(H301*SQRT(J301))</f>
        <v>1.6801275655518799</v>
      </c>
      <c r="L301" s="3">
        <f>K301-H301*SQRT(J301)</f>
        <v>0.65178262907654116</v>
      </c>
      <c r="M301" s="3">
        <f>EXP(-E301*J301)*(D301*_xlfn.NORM.DIST(K301,0,1,TRUE)-G301*_xlfn.NORM.DIST(L301,0,1,TRUE))</f>
        <v>5018.9897574127208</v>
      </c>
      <c r="N301" s="3">
        <f>EXP(-E301*J301)*(G301*_xlfn.NORM.DIST(-L301,0,1,TRUE)-D301*_xlfn.NORM.DIST(-K301,0,1,TRUE))</f>
        <v>213.93441849586864</v>
      </c>
      <c r="O301" s="3" t="b">
        <f>(M301-N301)=EXP(-E301*J301)*(D301-G301)</f>
        <v>1</v>
      </c>
    </row>
    <row r="302" spans="1:15" x14ac:dyDescent="0.3">
      <c r="A302" s="1">
        <v>45987</v>
      </c>
      <c r="B302" t="s">
        <v>6</v>
      </c>
      <c r="C302">
        <v>6812.61</v>
      </c>
      <c r="D302">
        <v>11298.072620000001</v>
      </c>
      <c r="E302" s="2">
        <v>3.7973438445791555E-2</v>
      </c>
      <c r="F302" s="1">
        <v>50756</v>
      </c>
      <c r="G302">
        <v>4087.5659999999998</v>
      </c>
      <c r="H302">
        <v>0.27311200000000002</v>
      </c>
      <c r="J302" s="3">
        <f t="shared" si="4"/>
        <v>13.065753424657535</v>
      </c>
      <c r="K302" s="3">
        <f>(LN(D302/G302)+H302^2*J302/2)/(H302*SQRT(J302))</f>
        <v>1.5234611947314274</v>
      </c>
      <c r="L302" s="3">
        <f>K302-H302*SQRT(J302)</f>
        <v>0.53625468247751351</v>
      </c>
      <c r="M302" s="3">
        <f>EXP(-E302*J302)*(D302*_xlfn.NORM.DIST(K302,0,1,TRUE)-G302*_xlfn.NORM.DIST(L302,0,1,TRUE))</f>
        <v>4687.6361774833822</v>
      </c>
      <c r="N302" s="3">
        <f>EXP(-E302*J302)*(G302*_xlfn.NORM.DIST(-L302,0,1,TRUE)-D302*_xlfn.NORM.DIST(-K302,0,1,TRUE))</f>
        <v>297.37977371888326</v>
      </c>
      <c r="O302" s="3" t="b">
        <f>(M302-N302)=EXP(-E302*J302)*(D302-G302)</f>
        <v>1</v>
      </c>
    </row>
    <row r="303" spans="1:15" x14ac:dyDescent="0.3">
      <c r="A303" s="1">
        <v>45987</v>
      </c>
      <c r="B303" t="s">
        <v>6</v>
      </c>
      <c r="C303">
        <v>6812.61</v>
      </c>
      <c r="D303">
        <v>11298.072620000001</v>
      </c>
      <c r="E303" s="2">
        <v>3.7973438445791555E-2</v>
      </c>
      <c r="F303" s="1">
        <v>50756</v>
      </c>
      <c r="G303">
        <v>4768.8269999999993</v>
      </c>
      <c r="H303">
        <v>0.26328000000000001</v>
      </c>
      <c r="J303" s="3">
        <f t="shared" si="4"/>
        <v>13.065753424657535</v>
      </c>
      <c r="K303" s="3">
        <f>(LN(D303/G303)+H303^2*J303/2)/(H303*SQRT(J303))</f>
        <v>1.3821712216660229</v>
      </c>
      <c r="L303" s="3">
        <f>K303-H303*SQRT(J303)</f>
        <v>0.43050402818418965</v>
      </c>
      <c r="M303" s="3">
        <f>EXP(-E303*J303)*(D303*_xlfn.NORM.DIST(K303,0,1,TRUE)-G303*_xlfn.NORM.DIST(L303,0,1,TRUE))</f>
        <v>4369.4348432805264</v>
      </c>
      <c r="N303" s="3">
        <f>EXP(-E303*J303)*(G303*_xlfn.NORM.DIST(-L303,0,1,TRUE)-D303*_xlfn.NORM.DIST(-K303,0,1,TRUE))</f>
        <v>393.97737466838299</v>
      </c>
      <c r="O303" s="3" t="b">
        <f>(M303-N303)=EXP(-E303*J303)*(D303-G303)</f>
        <v>1</v>
      </c>
    </row>
    <row r="304" spans="1:15" x14ac:dyDescent="0.3">
      <c r="A304" s="1">
        <v>45987</v>
      </c>
      <c r="B304" t="s">
        <v>6</v>
      </c>
      <c r="C304">
        <v>6812.61</v>
      </c>
      <c r="D304">
        <v>11298.072620000001</v>
      </c>
      <c r="E304" s="2">
        <v>3.7973438445791555E-2</v>
      </c>
      <c r="F304" s="1">
        <v>50756</v>
      </c>
      <c r="G304">
        <v>5450.0879999999997</v>
      </c>
      <c r="H304">
        <v>0.25459300000000001</v>
      </c>
      <c r="J304" s="3">
        <f t="shared" si="4"/>
        <v>13.065753424657535</v>
      </c>
      <c r="K304" s="3">
        <f>(LN(D304/G304)+H304^2*J304/2)/(H304*SQRT(J304))</f>
        <v>1.2522954537569893</v>
      </c>
      <c r="L304" s="3">
        <f>K304-H304*SQRT(J304)</f>
        <v>0.33202879548397046</v>
      </c>
      <c r="M304" s="3">
        <f>EXP(-E304*J304)*(D304*_xlfn.NORM.DIST(K304,0,1,TRUE)-G304*_xlfn.NORM.DIST(L304,0,1,TRUE))</f>
        <v>4064.3534784662843</v>
      </c>
      <c r="N304" s="3">
        <f>EXP(-E304*J304)*(G304*_xlfn.NORM.DIST(-L304,0,1,TRUE)-D304*_xlfn.NORM.DIST(-K304,0,1,TRUE))</f>
        <v>503.69494500649648</v>
      </c>
      <c r="O304" s="3" t="b">
        <f>(M304-N304)=EXP(-E304*J304)*(D304-G304)</f>
        <v>1</v>
      </c>
    </row>
    <row r="305" spans="1:15" x14ac:dyDescent="0.3">
      <c r="A305" s="1">
        <v>45987</v>
      </c>
      <c r="B305" t="s">
        <v>6</v>
      </c>
      <c r="C305">
        <v>6812.61</v>
      </c>
      <c r="D305">
        <v>11298.072620000001</v>
      </c>
      <c r="E305" s="2">
        <v>3.7973438445791555E-2</v>
      </c>
      <c r="F305" s="1">
        <v>50756</v>
      </c>
      <c r="G305">
        <v>6131.3490000000002</v>
      </c>
      <c r="H305">
        <v>0.246785</v>
      </c>
      <c r="J305" s="3">
        <f t="shared" si="4"/>
        <v>13.065753424657535</v>
      </c>
      <c r="K305" s="3">
        <f>(LN(D305/G305)+H305^2*J305/2)/(H305*SQRT(J305))</f>
        <v>1.1312096110024685</v>
      </c>
      <c r="L305" s="3">
        <f>K305-H305*SQRT(J305)</f>
        <v>0.23916620343860417</v>
      </c>
      <c r="M305" s="3">
        <f>EXP(-E305*J305)*(D305*_xlfn.NORM.DIST(K305,0,1,TRUE)-G305*_xlfn.NORM.DIST(L305,0,1,TRUE))</f>
        <v>3772.3413086396163</v>
      </c>
      <c r="N305" s="3">
        <f>EXP(-E305*J305)*(G305*_xlfn.NORM.DIST(-L305,0,1,TRUE)-D305*_xlfn.NORM.DIST(-K305,0,1,TRUE))</f>
        <v>626.4817103321833</v>
      </c>
      <c r="O305" s="3" t="b">
        <f>(M305-N305)=EXP(-E305*J305)*(D305-G305)</f>
        <v>1</v>
      </c>
    </row>
    <row r="306" spans="1:15" x14ac:dyDescent="0.3">
      <c r="A306" s="1">
        <v>45987</v>
      </c>
      <c r="B306" t="s">
        <v>6</v>
      </c>
      <c r="C306">
        <v>6812.61</v>
      </c>
      <c r="D306">
        <v>11298.072620000001</v>
      </c>
      <c r="E306" s="2">
        <v>3.7973438445791555E-2</v>
      </c>
      <c r="F306" s="1">
        <v>50756</v>
      </c>
      <c r="G306">
        <v>6471.9794999999995</v>
      </c>
      <c r="H306">
        <v>0.24315200000000001</v>
      </c>
      <c r="J306" s="3">
        <f t="shared" si="4"/>
        <v>13.065753424657535</v>
      </c>
      <c r="K306" s="3">
        <f>(LN(D306/G306)+H306^2*J306/2)/(H306*SQRT(J306))</f>
        <v>1.0733650373274781</v>
      </c>
      <c r="L306" s="3">
        <f>K306-H306*SQRT(J306)</f>
        <v>0.19445368276391573</v>
      </c>
      <c r="M306" s="3">
        <f>EXP(-E306*J306)*(D306*_xlfn.NORM.DIST(K306,0,1,TRUE)-G306*_xlfn.NORM.DIST(L306,0,1,TRUE))</f>
        <v>3631.2214358468286</v>
      </c>
      <c r="N306" s="3">
        <f>EXP(-E306*J306)*(G306*_xlfn.NORM.DIST(-L306,0,1,TRUE)-D306*_xlfn.NORM.DIST(-K306,0,1,TRUE))</f>
        <v>692.76130511557233</v>
      </c>
      <c r="O306" s="3" t="b">
        <f>(M306-N306)=EXP(-E306*J306)*(D306-G306)</f>
        <v>1</v>
      </c>
    </row>
    <row r="307" spans="1:15" x14ac:dyDescent="0.3">
      <c r="A307" s="1">
        <v>45987</v>
      </c>
      <c r="B307" t="s">
        <v>6</v>
      </c>
      <c r="C307">
        <v>6812.61</v>
      </c>
      <c r="D307">
        <v>11298.072620000001</v>
      </c>
      <c r="E307" s="2">
        <v>3.7973438445791555E-2</v>
      </c>
      <c r="F307" s="1">
        <v>50756</v>
      </c>
      <c r="G307">
        <v>6812.61</v>
      </c>
      <c r="H307">
        <v>0.239675</v>
      </c>
      <c r="J307" s="3">
        <f t="shared" si="4"/>
        <v>13.065753424657535</v>
      </c>
      <c r="K307" s="3">
        <f>(LN(D307/G307)+H307^2*J307/2)/(H307*SQRT(J307))</f>
        <v>1.0170705002216114</v>
      </c>
      <c r="L307" s="3">
        <f>K307-H307*SQRT(J307)</f>
        <v>0.15072731198946931</v>
      </c>
      <c r="M307" s="3">
        <f>EXP(-E307*J307)*(D307*_xlfn.NORM.DIST(K307,0,1,TRUE)-G307*_xlfn.NORM.DIST(L307,0,1,TRUE))</f>
        <v>3493.3461522658467</v>
      </c>
      <c r="N307" s="3">
        <f>EXP(-E307*J307)*(G307*_xlfn.NORM.DIST(-L307,0,1,TRUE)-D307*_xlfn.NORM.DIST(-K307,0,1,TRUE))</f>
        <v>762.28548911076814</v>
      </c>
      <c r="O307" s="3" t="b">
        <f>(M307-N307)=EXP(-E307*J307)*(D307-G307)</f>
        <v>1</v>
      </c>
    </row>
    <row r="308" spans="1:15" x14ac:dyDescent="0.3">
      <c r="A308" s="1">
        <v>45987</v>
      </c>
      <c r="B308" t="s">
        <v>6</v>
      </c>
      <c r="C308">
        <v>6812.61</v>
      </c>
      <c r="D308">
        <v>11298.072620000001</v>
      </c>
      <c r="E308" s="2">
        <v>3.7973438445791555E-2</v>
      </c>
      <c r="F308" s="1">
        <v>50756</v>
      </c>
      <c r="G308">
        <v>7153.240499999999</v>
      </c>
      <c r="H308">
        <v>0.23633899999999999</v>
      </c>
      <c r="J308" s="3">
        <f t="shared" si="4"/>
        <v>13.065753424657535</v>
      </c>
      <c r="K308" s="3">
        <f>(LN(D308/G308)+H308^2*J308/2)/(H308*SQRT(J308))</f>
        <v>0.96217086797612106</v>
      </c>
      <c r="L308" s="3">
        <f>K308-H308*SQRT(J308)</f>
        <v>0.1078861792785254</v>
      </c>
      <c r="M308" s="3">
        <f>EXP(-E308*J308)*(D308*_xlfn.NORM.DIST(K308,0,1,TRUE)-G308*_xlfn.NORM.DIST(L308,0,1,TRUE))</f>
        <v>3358.7053015396959</v>
      </c>
      <c r="N308" s="3">
        <f>EXP(-E308*J308)*(G308*_xlfn.NORM.DIST(-L308,0,1,TRUE)-D308*_xlfn.NORM.DIST(-K308,0,1,TRUE))</f>
        <v>835.04410596079458</v>
      </c>
      <c r="O308" s="3" t="b">
        <f>(M308-N308)=EXP(-E308*J308)*(D308-G308)</f>
        <v>1</v>
      </c>
    </row>
    <row r="309" spans="1:15" x14ac:dyDescent="0.3">
      <c r="A309" s="1">
        <v>45987</v>
      </c>
      <c r="B309" t="s">
        <v>6</v>
      </c>
      <c r="C309">
        <v>6812.61</v>
      </c>
      <c r="D309">
        <v>11298.072620000001</v>
      </c>
      <c r="E309" s="2">
        <v>3.7973438445791555E-2</v>
      </c>
      <c r="F309" s="1">
        <v>50756</v>
      </c>
      <c r="G309">
        <v>7493.8710000000001</v>
      </c>
      <c r="H309">
        <v>0.23313200000000001</v>
      </c>
      <c r="J309" s="3">
        <f t="shared" si="4"/>
        <v>13.065753424657535</v>
      </c>
      <c r="K309" s="3">
        <f>(LN(D309/G309)+H309^2*J309/2)/(H309*SQRT(J309))</f>
        <v>0.90853067543284771</v>
      </c>
      <c r="L309" s="3">
        <f>K309-H309*SQRT(J309)</f>
        <v>6.5838195370531039E-2</v>
      </c>
      <c r="M309" s="3">
        <f>EXP(-E309*J309)*(D309*_xlfn.NORM.DIST(K309,0,1,TRUE)-G309*_xlfn.NORM.DIST(L309,0,1,TRUE))</f>
        <v>3227.2937232639497</v>
      </c>
      <c r="N309" s="3">
        <f>EXP(-E309*J309)*(G309*_xlfn.NORM.DIST(-L309,0,1,TRUE)-D309*_xlfn.NORM.DIST(-K309,0,1,TRUE))</f>
        <v>911.03199526122603</v>
      </c>
      <c r="O309" s="3" t="b">
        <f>(M309-N309)=EXP(-E309*J309)*(D309-G309)</f>
        <v>1</v>
      </c>
    </row>
    <row r="310" spans="1:15" x14ac:dyDescent="0.3">
      <c r="A310" s="1">
        <v>45987</v>
      </c>
      <c r="B310" t="s">
        <v>6</v>
      </c>
      <c r="C310">
        <v>6812.61</v>
      </c>
      <c r="D310">
        <v>11298.072620000001</v>
      </c>
      <c r="E310" s="2">
        <v>3.7973438445791555E-2</v>
      </c>
      <c r="F310" s="1">
        <v>50756</v>
      </c>
      <c r="G310">
        <v>8175.1319999999996</v>
      </c>
      <c r="H310">
        <v>0.22705999999999998</v>
      </c>
      <c r="J310" s="3">
        <f t="shared" si="4"/>
        <v>13.065753424657535</v>
      </c>
      <c r="K310" s="3">
        <f>(LN(D310/G310)+H310^2*J310/2)/(H310*SQRT(J310))</f>
        <v>0.80456956658460543</v>
      </c>
      <c r="L310" s="3">
        <f>K310-H310*SQRT(J310)</f>
        <v>-1.6174709288932387E-2</v>
      </c>
      <c r="M310" s="3">
        <f>EXP(-E310*J310)*(D310*_xlfn.NORM.DIST(K310,0,1,TRUE)-G310*_xlfn.NORM.DIST(L310,0,1,TRUE))</f>
        <v>2974.0999615512769</v>
      </c>
      <c r="N310" s="3">
        <f>EXP(-E310*J310)*(G310*_xlfn.NORM.DIST(-L310,0,1,TRUE)-D310*_xlfn.NORM.DIST(-K310,0,1,TRUE))</f>
        <v>1072.6371687009078</v>
      </c>
      <c r="O310" s="3" t="b">
        <f>(M310-N310)=EXP(-E310*J310)*(D310-G310)</f>
        <v>1</v>
      </c>
    </row>
    <row r="311" spans="1:15" x14ac:dyDescent="0.3">
      <c r="A311" s="1">
        <v>45987</v>
      </c>
      <c r="B311" t="s">
        <v>6</v>
      </c>
      <c r="C311">
        <v>6812.61</v>
      </c>
      <c r="D311">
        <v>11298.072620000001</v>
      </c>
      <c r="E311" s="2">
        <v>3.7973438445791555E-2</v>
      </c>
      <c r="F311" s="1">
        <v>50756</v>
      </c>
      <c r="G311">
        <v>8856.393</v>
      </c>
      <c r="H311">
        <v>0.221384</v>
      </c>
      <c r="J311" s="3">
        <f t="shared" si="4"/>
        <v>13.065753424657535</v>
      </c>
      <c r="K311" s="3">
        <f>(LN(D311/G311)+H311^2*J311/2)/(H311*SQRT(J311))</f>
        <v>0.70439293708431872</v>
      </c>
      <c r="L311" s="3">
        <f>K311-H311*SQRT(J311)</f>
        <v>-9.5834539221447579E-2</v>
      </c>
      <c r="M311" s="3">
        <f>EXP(-E311*J311)*(D311*_xlfn.NORM.DIST(K311,0,1,TRUE)-G311*_xlfn.NORM.DIST(L311,0,1,TRUE))</f>
        <v>2733.6474107007211</v>
      </c>
      <c r="N311" s="3">
        <f>EXP(-E311*J311)*(G311*_xlfn.NORM.DIST(-L311,0,1,TRUE)-D311*_xlfn.NORM.DIST(-K311,0,1,TRUE))</f>
        <v>1246.9835530027071</v>
      </c>
      <c r="O311" s="3" t="b">
        <f>(M311-N311)=EXP(-E311*J311)*(D311-G311)</f>
        <v>1</v>
      </c>
    </row>
    <row r="312" spans="1:15" x14ac:dyDescent="0.3">
      <c r="A312" s="1">
        <v>45987</v>
      </c>
      <c r="B312" t="s">
        <v>6</v>
      </c>
      <c r="C312">
        <v>6812.61</v>
      </c>
      <c r="D312">
        <v>11298.072620000001</v>
      </c>
      <c r="E312" s="2">
        <v>3.7973438445791555E-2</v>
      </c>
      <c r="F312" s="1">
        <v>50756</v>
      </c>
      <c r="G312">
        <v>9537.6539999999986</v>
      </c>
      <c r="H312">
        <v>0.21604499999999999</v>
      </c>
      <c r="J312" s="3">
        <f t="shared" si="4"/>
        <v>13.065753424657535</v>
      </c>
      <c r="K312" s="3">
        <f>(LN(D312/G312)+H312^2*J312/2)/(H312*SQRT(J312))</f>
        <v>0.60736587189905278</v>
      </c>
      <c r="L312" s="3">
        <f>K312-H312*SQRT(J312)</f>
        <v>-0.17356294463005173</v>
      </c>
      <c r="M312" s="3">
        <f>EXP(-E312*J312)*(D312*_xlfn.NORM.DIST(K312,0,1,TRUE)-G312*_xlfn.NORM.DIST(L312,0,1,TRUE))</f>
        <v>2505.7927531960404</v>
      </c>
      <c r="N312" s="3">
        <f>EXP(-E312*J312)*(G312*_xlfn.NORM.DIST(-L312,0,1,TRUE)-D312*_xlfn.NORM.DIST(-K312,0,1,TRUE))</f>
        <v>1433.9278306503807</v>
      </c>
      <c r="O312" s="3" t="b">
        <f>(M312-N312)=EXP(-E312*J312)*(D312-G312)</f>
        <v>1</v>
      </c>
    </row>
    <row r="313" spans="1:15" x14ac:dyDescent="0.3">
      <c r="A313" s="1">
        <v>45987</v>
      </c>
      <c r="B313" t="s">
        <v>6</v>
      </c>
      <c r="C313">
        <v>6812.61</v>
      </c>
      <c r="D313">
        <v>11298.072620000001</v>
      </c>
      <c r="E313" s="2">
        <v>3.7973438445791555E-2</v>
      </c>
      <c r="F313" s="1">
        <v>50756</v>
      </c>
      <c r="G313">
        <v>10218.915000000001</v>
      </c>
      <c r="H313">
        <v>0.21099799999999999</v>
      </c>
      <c r="J313" s="3">
        <f t="shared" si="4"/>
        <v>13.065753424657535</v>
      </c>
      <c r="K313" s="3">
        <f>(LN(D313/G313)+H313^2*J313/2)/(H313*SQRT(J313))</f>
        <v>0.51297205985999228</v>
      </c>
      <c r="L313" s="3">
        <f>K313-H313*SQRT(J313)</f>
        <v>-0.24971357706753672</v>
      </c>
      <c r="M313" s="3">
        <f>EXP(-E313*J313)*(D313*_xlfn.NORM.DIST(K313,0,1,TRUE)-G313*_xlfn.NORM.DIST(L313,0,1,TRUE))</f>
        <v>2290.3870749195439</v>
      </c>
      <c r="N313" s="3">
        <f>EXP(-E313*J313)*(G313*_xlfn.NORM.DIST(-L313,0,1,TRUE)-D313*_xlfn.NORM.DIST(-K313,0,1,TRUE))</f>
        <v>1633.3210875262396</v>
      </c>
      <c r="O313" s="3" t="b">
        <f>(M313-N313)=EXP(-E313*J313)*(D313-G313)</f>
        <v>1</v>
      </c>
    </row>
    <row r="314" spans="1:15" x14ac:dyDescent="0.3">
      <c r="A314" s="1">
        <v>45987</v>
      </c>
      <c r="B314" t="s">
        <v>6</v>
      </c>
      <c r="C314">
        <v>6812.61</v>
      </c>
      <c r="D314">
        <v>11857.69736</v>
      </c>
      <c r="E314" s="2">
        <v>3.8495447437831433E-2</v>
      </c>
      <c r="F314" s="1">
        <v>51120</v>
      </c>
      <c r="G314">
        <v>3406.3049999999998</v>
      </c>
      <c r="H314">
        <v>0.28545199999999998</v>
      </c>
      <c r="J314" s="3">
        <f t="shared" si="4"/>
        <v>14.063013698630137</v>
      </c>
      <c r="K314" s="3">
        <f>(LN(D314/G314)+H314^2*J314/2)/(H314*SQRT(J314))</f>
        <v>1.7004731940235551</v>
      </c>
      <c r="L314" s="3">
        <f>K314-H314*SQRT(J314)</f>
        <v>0.63000864269525514</v>
      </c>
      <c r="M314" s="3">
        <f>EXP(-E314*J314)*(D314*_xlfn.NORM.DIST(K314,0,1,TRUE)-G314*_xlfn.NORM.DIST(L314,0,1,TRUE))</f>
        <v>5135.1216137340243</v>
      </c>
      <c r="N314" s="3">
        <f>EXP(-E314*J314)*(G314*_xlfn.NORM.DIST(-L314,0,1,TRUE)-D314*_xlfn.NORM.DIST(-K314,0,1,TRUE))</f>
        <v>216.7908391806383</v>
      </c>
      <c r="O314" s="3" t="b">
        <f>(M314-N314)=EXP(-E314*J314)*(D314-G314)</f>
        <v>1</v>
      </c>
    </row>
    <row r="315" spans="1:15" x14ac:dyDescent="0.3">
      <c r="A315" s="1">
        <v>45987</v>
      </c>
      <c r="B315" t="s">
        <v>6</v>
      </c>
      <c r="C315">
        <v>6812.61</v>
      </c>
      <c r="D315">
        <v>11857.69736</v>
      </c>
      <c r="E315" s="2">
        <v>3.8495447437831433E-2</v>
      </c>
      <c r="F315" s="1">
        <v>51120</v>
      </c>
      <c r="G315">
        <v>4087.5659999999998</v>
      </c>
      <c r="H315">
        <v>0.27445399999999998</v>
      </c>
      <c r="J315" s="3">
        <f t="shared" si="4"/>
        <v>14.063013698630137</v>
      </c>
      <c r="K315" s="3">
        <f>(LN(D315/G315)+H315^2*J315/2)/(H315*SQRT(J315))</f>
        <v>1.5494002925022179</v>
      </c>
      <c r="L315" s="3">
        <f>K315-H315*SQRT(J315)</f>
        <v>0.52017899445471016</v>
      </c>
      <c r="M315" s="3">
        <f>EXP(-E315*J315)*(D315*_xlfn.NORM.DIST(K315,0,1,TRUE)-G315*_xlfn.NORM.DIST(L315,0,1,TRUE))</f>
        <v>4820.5225162608722</v>
      </c>
      <c r="N315" s="3">
        <f>EXP(-E315*J315)*(G315*_xlfn.NORM.DIST(-L315,0,1,TRUE)-D315*_xlfn.NORM.DIST(-K315,0,1,TRUE))</f>
        <v>298.6550461047043</v>
      </c>
      <c r="O315" s="3" t="b">
        <f>(M315-N315)=EXP(-E315*J315)*(D315-G315)</f>
        <v>1</v>
      </c>
    </row>
    <row r="316" spans="1:15" x14ac:dyDescent="0.3">
      <c r="A316" s="1">
        <v>45987</v>
      </c>
      <c r="B316" t="s">
        <v>6</v>
      </c>
      <c r="C316">
        <v>6812.61</v>
      </c>
      <c r="D316">
        <v>11857.69736</v>
      </c>
      <c r="E316" s="2">
        <v>3.8495447437831433E-2</v>
      </c>
      <c r="F316" s="1">
        <v>51120</v>
      </c>
      <c r="G316">
        <v>4768.8269999999993</v>
      </c>
      <c r="H316">
        <v>0.264961</v>
      </c>
      <c r="J316" s="3">
        <f t="shared" si="4"/>
        <v>14.063013698630137</v>
      </c>
      <c r="K316" s="3">
        <f>(LN(D316/G316)+H316^2*J316/2)/(H316*SQRT(J316))</f>
        <v>1.4135347673226968</v>
      </c>
      <c r="L316" s="3">
        <f>K316-H316*SQRT(J316)</f>
        <v>0.4199128694747305</v>
      </c>
      <c r="M316" s="3">
        <f>EXP(-E316*J316)*(D316*_xlfn.NORM.DIST(K316,0,1,TRUE)-G316*_xlfn.NORM.DIST(L316,0,1,TRUE))</f>
        <v>4518.0020933950036</v>
      </c>
      <c r="N316" s="3">
        <f>EXP(-E316*J316)*(G316*_xlfn.NORM.DIST(-L316,0,1,TRUE)-D316*_xlfn.NORM.DIST(-K316,0,1,TRUE))</f>
        <v>392.59792763605657</v>
      </c>
      <c r="O316" s="3" t="b">
        <f>(M316-N316)=EXP(-E316*J316)*(D316-G316)</f>
        <v>1</v>
      </c>
    </row>
    <row r="317" spans="1:15" x14ac:dyDescent="0.3">
      <c r="A317" s="1">
        <v>45987</v>
      </c>
      <c r="B317" t="s">
        <v>6</v>
      </c>
      <c r="C317">
        <v>6812.61</v>
      </c>
      <c r="D317">
        <v>11857.69736</v>
      </c>
      <c r="E317" s="2">
        <v>3.8495447437831433E-2</v>
      </c>
      <c r="F317" s="1">
        <v>51120</v>
      </c>
      <c r="G317">
        <v>5450.0879999999997</v>
      </c>
      <c r="H317">
        <v>0.25657999999999997</v>
      </c>
      <c r="J317" s="3">
        <f t="shared" si="4"/>
        <v>14.063013698630137</v>
      </c>
      <c r="K317" s="3">
        <f>(LN(D317/G317)+H317^2*J317/2)/(H317*SQRT(J317))</f>
        <v>1.288985984636184</v>
      </c>
      <c r="L317" s="3">
        <f>K317-H317*SQRT(J317)</f>
        <v>0.32679341082407132</v>
      </c>
      <c r="M317" s="3">
        <f>EXP(-E317*J317)*(D317*_xlfn.NORM.DIST(K317,0,1,TRUE)-G317*_xlfn.NORM.DIST(L317,0,1,TRUE))</f>
        <v>4227.4326745740482</v>
      </c>
      <c r="N317" s="3">
        <f>EXP(-E317*J317)*(G317*_xlfn.NORM.DIST(-L317,0,1,TRUE)-D317*_xlfn.NORM.DIST(-K317,0,1,TRUE))</f>
        <v>498.4918132123197</v>
      </c>
      <c r="O317" s="3" t="b">
        <f>(M317-N317)=EXP(-E317*J317)*(D317-G317)</f>
        <v>1</v>
      </c>
    </row>
    <row r="318" spans="1:15" x14ac:dyDescent="0.3">
      <c r="A318" s="1">
        <v>45987</v>
      </c>
      <c r="B318" t="s">
        <v>6</v>
      </c>
      <c r="C318">
        <v>6812.61</v>
      </c>
      <c r="D318">
        <v>11857.69736</v>
      </c>
      <c r="E318" s="2">
        <v>3.8495447437831433E-2</v>
      </c>
      <c r="F318" s="1">
        <v>51120</v>
      </c>
      <c r="G318">
        <v>6131.3490000000002</v>
      </c>
      <c r="H318">
        <v>0.249055</v>
      </c>
      <c r="J318" s="3">
        <f t="shared" si="4"/>
        <v>14.063013698630137</v>
      </c>
      <c r="K318" s="3">
        <f>(LN(D318/G318)+H318^2*J318/2)/(H318*SQRT(J318))</f>
        <v>1.1731764628652599</v>
      </c>
      <c r="L318" s="3">
        <f>K318-H318*SQRT(J318)</f>
        <v>0.23920315445939921</v>
      </c>
      <c r="M318" s="3">
        <f>EXP(-E318*J318)*(D318*_xlfn.NORM.DIST(K318,0,1,TRUE)-G318*_xlfn.NORM.DIST(L318,0,1,TRUE))</f>
        <v>3948.6983868766297</v>
      </c>
      <c r="N318" s="3">
        <f>EXP(-E318*J318)*(G318*_xlfn.NORM.DIST(-L318,0,1,TRUE)-D318*_xlfn.NORM.DIST(-K318,0,1,TRUE))</f>
        <v>616.22082991212199</v>
      </c>
      <c r="O318" s="3" t="b">
        <f>(M318-N318)=EXP(-E318*J318)*(D318-G318)</f>
        <v>1</v>
      </c>
    </row>
    <row r="319" spans="1:15" x14ac:dyDescent="0.3">
      <c r="A319" s="1">
        <v>45987</v>
      </c>
      <c r="B319" t="s">
        <v>6</v>
      </c>
      <c r="C319">
        <v>6812.61</v>
      </c>
      <c r="D319">
        <v>11857.69736</v>
      </c>
      <c r="E319" s="2">
        <v>3.8495447437831433E-2</v>
      </c>
      <c r="F319" s="1">
        <v>51120</v>
      </c>
      <c r="G319">
        <v>6471.9794999999995</v>
      </c>
      <c r="H319">
        <v>0.245555</v>
      </c>
      <c r="J319" s="3">
        <f t="shared" si="4"/>
        <v>14.063013698630137</v>
      </c>
      <c r="K319" s="3">
        <f>(LN(D319/G319)+H319^2*J319/2)/(H319*SQRT(J319))</f>
        <v>1.1179648722722957</v>
      </c>
      <c r="L319" s="3">
        <f>K319-H319*SQRT(J319)</f>
        <v>0.19711680359027317</v>
      </c>
      <c r="M319" s="3">
        <f>EXP(-E319*J319)*(D319*_xlfn.NORM.DIST(K319,0,1,TRUE)-G319*_xlfn.NORM.DIST(L319,0,1,TRUE))</f>
        <v>3813.7271838530496</v>
      </c>
      <c r="N319" s="3">
        <f>EXP(-E319*J319)*(G319*_xlfn.NORM.DIST(-L319,0,1,TRUE)-D319*_xlfn.NORM.DIST(-K319,0,1,TRUE))</f>
        <v>679.48127908715105</v>
      </c>
      <c r="O319" s="3" t="b">
        <f>(M319-N319)=EXP(-E319*J319)*(D319-G319)</f>
        <v>1</v>
      </c>
    </row>
    <row r="320" spans="1:15" x14ac:dyDescent="0.3">
      <c r="A320" s="1">
        <v>45987</v>
      </c>
      <c r="B320" t="s">
        <v>6</v>
      </c>
      <c r="C320">
        <v>6812.61</v>
      </c>
      <c r="D320">
        <v>11857.69736</v>
      </c>
      <c r="E320" s="2">
        <v>3.8495447437831433E-2</v>
      </c>
      <c r="F320" s="1">
        <v>51120</v>
      </c>
      <c r="G320">
        <v>6812.61</v>
      </c>
      <c r="H320">
        <v>0.24220800000000001</v>
      </c>
      <c r="J320" s="3">
        <f t="shared" si="4"/>
        <v>14.063013698630137</v>
      </c>
      <c r="K320" s="3">
        <f>(LN(D320/G320)+H320^2*J320/2)/(H320*SQRT(J320))</f>
        <v>1.0643035267715728</v>
      </c>
      <c r="L320" s="3">
        <f>K320-H320*SQRT(J320)</f>
        <v>0.15600693733403204</v>
      </c>
      <c r="M320" s="3">
        <f>EXP(-E320*J320)*(D320*_xlfn.NORM.DIST(K320,0,1,TRUE)-G320*_xlfn.NORM.DIST(L320,0,1,TRUE))</f>
        <v>3681.6754836860523</v>
      </c>
      <c r="N320" s="3">
        <f>EXP(-E320*J320)*(G320*_xlfn.NORM.DIST(-L320,0,1,TRUE)-D320*_xlfn.NORM.DIST(-K320,0,1,TRUE))</f>
        <v>745.66123111876323</v>
      </c>
      <c r="O320" s="3" t="b">
        <f>(M320-N320)=EXP(-E320*J320)*(D320-G320)</f>
        <v>1</v>
      </c>
    </row>
    <row r="321" spans="1:15" x14ac:dyDescent="0.3">
      <c r="A321" s="1">
        <v>45987</v>
      </c>
      <c r="B321" t="s">
        <v>6</v>
      </c>
      <c r="C321">
        <v>6812.61</v>
      </c>
      <c r="D321">
        <v>11857.69736</v>
      </c>
      <c r="E321" s="2">
        <v>3.8495447437831433E-2</v>
      </c>
      <c r="F321" s="1">
        <v>51120</v>
      </c>
      <c r="G321">
        <v>7153.240499999999</v>
      </c>
      <c r="H321">
        <v>0.23899799999999999</v>
      </c>
      <c r="J321" s="3">
        <f t="shared" si="4"/>
        <v>14.063013698630137</v>
      </c>
      <c r="K321" s="3">
        <f>(LN(D321/G321)+H321^2*J321/2)/(H321*SQRT(J321))</f>
        <v>1.0120421270781603</v>
      </c>
      <c r="L321" s="3">
        <f>K321-H321*SQRT(J321)</f>
        <v>0.11578325750162555</v>
      </c>
      <c r="M321" s="3">
        <f>EXP(-E321*J321)*(D321*_xlfn.NORM.DIST(K321,0,1,TRUE)-G321*_xlfn.NORM.DIST(L321,0,1,TRUE))</f>
        <v>3552.5198893410998</v>
      </c>
      <c r="N321" s="3">
        <f>EXP(-E321*J321)*(G321*_xlfn.NORM.DIST(-L321,0,1,TRUE)-D321*_xlfn.NORM.DIST(-K321,0,1,TRUE))</f>
        <v>814.73728897241892</v>
      </c>
      <c r="O321" s="3" t="b">
        <f>(M321-N321)=EXP(-E321*J321)*(D321-G321)</f>
        <v>1</v>
      </c>
    </row>
    <row r="322" spans="1:15" x14ac:dyDescent="0.3">
      <c r="A322" s="1">
        <v>45987</v>
      </c>
      <c r="B322" t="s">
        <v>6</v>
      </c>
      <c r="C322">
        <v>6812.61</v>
      </c>
      <c r="D322">
        <v>11857.69736</v>
      </c>
      <c r="E322" s="2">
        <v>3.8495447437831433E-2</v>
      </c>
      <c r="F322" s="1">
        <v>51120</v>
      </c>
      <c r="G322">
        <v>7493.8710000000001</v>
      </c>
      <c r="H322">
        <v>0.23591300000000001</v>
      </c>
      <c r="J322" s="3">
        <f t="shared" si="4"/>
        <v>14.063013698630137</v>
      </c>
      <c r="K322" s="3">
        <f>(LN(D322/G322)+H322^2*J322/2)/(H322*SQRT(J322))</f>
        <v>0.9610484367976676</v>
      </c>
      <c r="L322" s="3">
        <f>K322-H322*SQRT(J322)</f>
        <v>7.6358528520572899E-2</v>
      </c>
      <c r="M322" s="3">
        <f>EXP(-E322*J322)*(D322*_xlfn.NORM.DIST(K322,0,1,TRUE)-G322*_xlfn.NORM.DIST(L322,0,1,TRUE))</f>
        <v>3426.2477024166042</v>
      </c>
      <c r="N322" s="3">
        <f>EXP(-E322*J322)*(G322*_xlfn.NORM.DIST(-L322,0,1,TRUE)-D322*_xlfn.NORM.DIST(-K322,0,1,TRUE))</f>
        <v>886.69675424653406</v>
      </c>
      <c r="O322" s="3" t="b">
        <f>(M322-N322)=EXP(-E322*J322)*(D322-G322)</f>
        <v>1</v>
      </c>
    </row>
    <row r="323" spans="1:15" x14ac:dyDescent="0.3">
      <c r="A323" s="1">
        <v>45987</v>
      </c>
      <c r="B323" t="s">
        <v>6</v>
      </c>
      <c r="C323">
        <v>6812.61</v>
      </c>
      <c r="D323">
        <v>11857.69736</v>
      </c>
      <c r="E323" s="2">
        <v>3.8495447437831433E-2</v>
      </c>
      <c r="F323" s="1">
        <v>51120</v>
      </c>
      <c r="G323">
        <v>8175.1319999999996</v>
      </c>
      <c r="H323">
        <v>0.230076</v>
      </c>
      <c r="J323" s="3">
        <f t="shared" ref="J323:J339" si="5">(F323-A323)/365</f>
        <v>14.063013698630137</v>
      </c>
      <c r="K323" s="3">
        <f>(LN(D323/G323)+H323^2*J323/2)/(H323*SQRT(J323))</f>
        <v>0.86241571603945144</v>
      </c>
      <c r="L323" s="3">
        <f>K323-H323*SQRT(J323)</f>
        <v>-3.8504244677373123E-4</v>
      </c>
      <c r="M323" s="3">
        <f>EXP(-E323*J323)*(D323*_xlfn.NORM.DIST(K323,0,1,TRUE)-G323*_xlfn.NORM.DIST(L323,0,1,TRUE))</f>
        <v>3182.2897099081383</v>
      </c>
      <c r="N323" s="3">
        <f>EXP(-E323*J323)*(G323*_xlfn.NORM.DIST(-L323,0,1,TRUE)-D323*_xlfn.NORM.DIST(-K323,0,1,TRUE))</f>
        <v>1039.2020661352867</v>
      </c>
      <c r="O323" s="3" t="b">
        <f>(M323-N323)=EXP(-E323*J323)*(D323-G323)</f>
        <v>1</v>
      </c>
    </row>
    <row r="324" spans="1:15" x14ac:dyDescent="0.3">
      <c r="A324" s="1">
        <v>45987</v>
      </c>
      <c r="B324" t="s">
        <v>6</v>
      </c>
      <c r="C324">
        <v>6812.61</v>
      </c>
      <c r="D324">
        <v>11857.69736</v>
      </c>
      <c r="E324" s="2">
        <v>3.8495447437831433E-2</v>
      </c>
      <c r="F324" s="1">
        <v>51120</v>
      </c>
      <c r="G324">
        <v>8856.393</v>
      </c>
      <c r="H324">
        <v>0.22462499999999999</v>
      </c>
      <c r="J324" s="3">
        <f t="shared" si="5"/>
        <v>14.063013698630137</v>
      </c>
      <c r="K324" s="3">
        <f>(LN(D324/G324)+H324^2*J324/2)/(H324*SQRT(J324))</f>
        <v>0.76763233297456712</v>
      </c>
      <c r="L324" s="3">
        <f>K324-H324*SQRT(J324)</f>
        <v>-7.4726802158903149E-2</v>
      </c>
      <c r="M324" s="3">
        <f>EXP(-E324*J324)*(D324*_xlfn.NORM.DIST(K324,0,1,TRUE)-G324*_xlfn.NORM.DIST(L324,0,1,TRUE))</f>
        <v>2949.6652604663254</v>
      </c>
      <c r="N324" s="3">
        <f>EXP(-E324*J324)*(G324*_xlfn.NORM.DIST(-L324,0,1,TRUE)-D324*_xlfn.NORM.DIST(-K324,0,1,TRUE))</f>
        <v>1203.0409210906937</v>
      </c>
      <c r="O324" s="3" t="b">
        <f>(M324-N324)=EXP(-E324*J324)*(D324-G324)</f>
        <v>1</v>
      </c>
    </row>
    <row r="325" spans="1:15" x14ac:dyDescent="0.3">
      <c r="A325" s="1">
        <v>45987</v>
      </c>
      <c r="B325" t="s">
        <v>6</v>
      </c>
      <c r="C325">
        <v>6812.61</v>
      </c>
      <c r="D325">
        <v>11857.69736</v>
      </c>
      <c r="E325" s="2">
        <v>3.8495447437831433E-2</v>
      </c>
      <c r="F325" s="1">
        <v>51120</v>
      </c>
      <c r="G325">
        <v>9537.6539999999986</v>
      </c>
      <c r="H325">
        <v>0.21950299999999998</v>
      </c>
      <c r="J325" s="3">
        <f t="shared" si="5"/>
        <v>14.063013698630137</v>
      </c>
      <c r="K325" s="3">
        <f>(LN(D325/G325)+H325^2*J325/2)/(H325*SQRT(J325))</f>
        <v>0.67608313164161182</v>
      </c>
      <c r="L325" s="3">
        <f>K325-H325*SQRT(J325)</f>
        <v>-0.14706815267314444</v>
      </c>
      <c r="M325" s="3">
        <f>EXP(-E325*J325)*(D325*_xlfn.NORM.DIST(K325,0,1,TRUE)-G325*_xlfn.NORM.DIST(L325,0,1,TRUE))</f>
        <v>2728.2208795217211</v>
      </c>
      <c r="N325" s="3">
        <f>EXP(-E325*J325)*(G325*_xlfn.NORM.DIST(-L325,0,1,TRUE)-D325*_xlfn.NORM.DIST(-K325,0,1,TRUE))</f>
        <v>1378.0598445433088</v>
      </c>
      <c r="O325" s="3" t="b">
        <f>(M325-N325)=EXP(-E325*J325)*(D325-G325)</f>
        <v>1</v>
      </c>
    </row>
    <row r="326" spans="1:15" x14ac:dyDescent="0.3">
      <c r="A326" s="1">
        <v>45987</v>
      </c>
      <c r="B326" t="s">
        <v>6</v>
      </c>
      <c r="C326">
        <v>6812.61</v>
      </c>
      <c r="D326">
        <v>11857.69736</v>
      </c>
      <c r="E326" s="2">
        <v>3.8495447437831433E-2</v>
      </c>
      <c r="F326" s="1">
        <v>51120</v>
      </c>
      <c r="G326">
        <v>10218.915000000001</v>
      </c>
      <c r="H326">
        <v>0.21466499999999999</v>
      </c>
      <c r="J326" s="3">
        <f t="shared" si="5"/>
        <v>14.063013698630137</v>
      </c>
      <c r="K326" s="3">
        <f>(LN(D326/G326)+H326^2*J326/2)/(H326*SQRT(J326))</f>
        <v>0.58726850770379879</v>
      </c>
      <c r="L326" s="3">
        <f>K326-H326*SQRT(J326)</f>
        <v>-0.21773994524412066</v>
      </c>
      <c r="M326" s="3">
        <f>EXP(-E326*J326)*(D326*_xlfn.NORM.DIST(K326,0,1,TRUE)-G326*_xlfn.NORM.DIST(L326,0,1,TRUE))</f>
        <v>2517.7942236590106</v>
      </c>
      <c r="N326" s="3">
        <f>EXP(-E326*J326)*(G326*_xlfn.NORM.DIST(-L326,0,1,TRUE)-D326*_xlfn.NORM.DIST(-K326,0,1,TRUE))</f>
        <v>1564.0964930778189</v>
      </c>
      <c r="O326" s="3" t="b">
        <f>(M326-N326)=EXP(-E326*J326)*(D326-G326)</f>
        <v>1</v>
      </c>
    </row>
    <row r="327" spans="1:15" x14ac:dyDescent="0.3">
      <c r="A327" s="1">
        <v>45987</v>
      </c>
      <c r="B327" t="s">
        <v>6</v>
      </c>
      <c r="C327">
        <v>6812.61</v>
      </c>
      <c r="D327">
        <v>15162.52205</v>
      </c>
      <c r="E327" s="2">
        <v>4.013980074880176E-2</v>
      </c>
      <c r="F327" s="1">
        <v>52947</v>
      </c>
      <c r="G327">
        <v>3406.3049999999998</v>
      </c>
      <c r="H327">
        <v>0.28829500000000002</v>
      </c>
      <c r="J327" s="3">
        <f t="shared" si="5"/>
        <v>19.068493150684933</v>
      </c>
      <c r="K327" s="3">
        <f>(LN(D327/G327)+H327^2*J327/2)/(H327*SQRT(J327))</f>
        <v>1.8155585425412939</v>
      </c>
      <c r="L327" s="3">
        <f>K327-H327*SQRT(J327)</f>
        <v>0.55664676100845267</v>
      </c>
      <c r="M327" s="3">
        <f>EXP(-E327*J327)*(D327*_xlfn.NORM.DIST(K327,0,1,TRUE)-G327*_xlfn.NORM.DIST(L327,0,1,TRUE))</f>
        <v>5681.1991599385728</v>
      </c>
      <c r="N327" s="3">
        <f>EXP(-E327*J327)*(G327*_xlfn.NORM.DIST(-L327,0,1,TRUE)-D327*_xlfn.NORM.DIST(-K327,0,1,TRUE))</f>
        <v>212.85041733723074</v>
      </c>
      <c r="O327" s="3" t="b">
        <f>(M327-N327)=EXP(-E327*J327)*(D327-G327)</f>
        <v>1</v>
      </c>
    </row>
    <row r="328" spans="1:15" x14ac:dyDescent="0.3">
      <c r="A328" s="1">
        <v>45987</v>
      </c>
      <c r="B328" t="s">
        <v>6</v>
      </c>
      <c r="C328">
        <v>6812.61</v>
      </c>
      <c r="D328">
        <v>15162.52205</v>
      </c>
      <c r="E328" s="2">
        <v>4.013980074880176E-2</v>
      </c>
      <c r="F328" s="1">
        <v>52947</v>
      </c>
      <c r="G328">
        <v>4087.5659999999998</v>
      </c>
      <c r="H328">
        <v>0.27828900000000001</v>
      </c>
      <c r="J328" s="3">
        <f t="shared" si="5"/>
        <v>19.068493150684933</v>
      </c>
      <c r="K328" s="3">
        <f>(LN(D328/G328)+H328^2*J328/2)/(H328*SQRT(J328))</f>
        <v>1.6863265640570095</v>
      </c>
      <c r="L328" s="3">
        <f>K328-H328*SQRT(J328)</f>
        <v>0.47110846880390822</v>
      </c>
      <c r="M328" s="3">
        <f>EXP(-E328*J328)*(D328*_xlfn.NORM.DIST(K328,0,1,TRUE)-G328*_xlfn.NORM.DIST(L328,0,1,TRUE))</f>
        <v>5434.0809315643492</v>
      </c>
      <c r="N328" s="3">
        <f>EXP(-E328*J328)*(G328*_xlfn.NORM.DIST(-L328,0,1,TRUE)-D328*_xlfn.NORM.DIST(-K328,0,1,TRUE))</f>
        <v>282.61752009368286</v>
      </c>
      <c r="O328" s="3" t="b">
        <f>(M328-N328)=EXP(-E328*J328)*(D328-G328)</f>
        <v>1</v>
      </c>
    </row>
    <row r="329" spans="1:15" x14ac:dyDescent="0.3">
      <c r="A329" s="1">
        <v>45987</v>
      </c>
      <c r="B329" t="s">
        <v>6</v>
      </c>
      <c r="C329">
        <v>6812.61</v>
      </c>
      <c r="D329">
        <v>15162.52205</v>
      </c>
      <c r="E329" s="2">
        <v>4.013980074880176E-2</v>
      </c>
      <c r="F329" s="1">
        <v>52947</v>
      </c>
      <c r="G329">
        <v>4768.8269999999993</v>
      </c>
      <c r="H329">
        <v>0.269675</v>
      </c>
      <c r="J329" s="3">
        <f t="shared" si="5"/>
        <v>19.068493150684933</v>
      </c>
      <c r="K329" s="3">
        <f>(LN(D329/G329)+H329^2*J329/2)/(H329*SQRT(J329))</f>
        <v>1.571073450822714</v>
      </c>
      <c r="L329" s="3">
        <f>K329-H329*SQRT(J329)</f>
        <v>0.39347052782762582</v>
      </c>
      <c r="M329" s="3">
        <f>EXP(-E329*J329)*(D329*_xlfn.NORM.DIST(K329,0,1,TRUE)-G329*_xlfn.NORM.DIST(L329,0,1,TRUE))</f>
        <v>5194.6165783803053</v>
      </c>
      <c r="N329" s="3">
        <f>EXP(-E329*J329)*(G329*_xlfn.NORM.DIST(-L329,0,1,TRUE)-D329*_xlfn.NORM.DIST(-K329,0,1,TRUE))</f>
        <v>360.03849804031381</v>
      </c>
      <c r="O329" s="3" t="b">
        <f>(M329-N329)=EXP(-E329*J329)*(D329-G329)</f>
        <v>1</v>
      </c>
    </row>
    <row r="330" spans="1:15" x14ac:dyDescent="0.3">
      <c r="A330" s="1">
        <v>45987</v>
      </c>
      <c r="B330" t="s">
        <v>6</v>
      </c>
      <c r="C330">
        <v>6812.61</v>
      </c>
      <c r="D330">
        <v>15162.52205</v>
      </c>
      <c r="E330" s="2">
        <v>4.013980074880176E-2</v>
      </c>
      <c r="F330" s="1">
        <v>52947</v>
      </c>
      <c r="G330">
        <v>5450.0879999999997</v>
      </c>
      <c r="H330">
        <v>0.26208799999999999</v>
      </c>
      <c r="J330" s="3">
        <f t="shared" si="5"/>
        <v>19.068493150684933</v>
      </c>
      <c r="K330" s="3">
        <f>(LN(D330/G330)+H330^2*J330/2)/(H330*SQRT(J330))</f>
        <v>1.4662682209464597</v>
      </c>
      <c r="L330" s="3">
        <f>K330-H330*SQRT(J330)</f>
        <v>0.32179581941892987</v>
      </c>
      <c r="M330" s="3">
        <f>EXP(-E330*J330)*(D330*_xlfn.NORM.DIST(K330,0,1,TRUE)-G330*_xlfn.NORM.DIST(L330,0,1,TRUE))</f>
        <v>4962.5404644650807</v>
      </c>
      <c r="N330" s="3">
        <f>EXP(-E330*J330)*(G330*_xlfn.NORM.DIST(-L330,0,1,TRUE)-D330*_xlfn.NORM.DIST(-K330,0,1,TRUE))</f>
        <v>444.84771525576184</v>
      </c>
      <c r="O330" s="3" t="b">
        <f>(M330-N330)=EXP(-E330*J330)*(D330-G330)</f>
        <v>1</v>
      </c>
    </row>
    <row r="331" spans="1:15" x14ac:dyDescent="0.3">
      <c r="A331" s="1">
        <v>45987</v>
      </c>
      <c r="B331" t="s">
        <v>6</v>
      </c>
      <c r="C331">
        <v>6812.61</v>
      </c>
      <c r="D331">
        <v>15162.52205</v>
      </c>
      <c r="E331" s="2">
        <v>4.013980074880176E-2</v>
      </c>
      <c r="F331" s="1">
        <v>52947</v>
      </c>
      <c r="G331">
        <v>6131.3490000000002</v>
      </c>
      <c r="H331">
        <v>0.25529299999999999</v>
      </c>
      <c r="J331" s="3">
        <f t="shared" si="5"/>
        <v>19.068493150684933</v>
      </c>
      <c r="K331" s="3">
        <f>(LN(D331/G331)+H331^2*J331/2)/(H331*SQRT(J331))</f>
        <v>1.3695742461825178</v>
      </c>
      <c r="L331" s="3">
        <f>K331-H331*SQRT(J331)</f>
        <v>0.25477390124811516</v>
      </c>
      <c r="M331" s="3">
        <f>EXP(-E331*J331)*(D331*_xlfn.NORM.DIST(K331,0,1,TRUE)-G331*_xlfn.NORM.DIST(L331,0,1,TRUE))</f>
        <v>4737.6458017533441</v>
      </c>
      <c r="N331" s="3">
        <f>EXP(-E331*J331)*(G331*_xlfn.NORM.DIST(-L331,0,1,TRUE)-D331*_xlfn.NORM.DIST(-K331,0,1,TRUE))</f>
        <v>536.83838367470128</v>
      </c>
      <c r="O331" s="3" t="b">
        <f>(M331-N331)=EXP(-E331*J331)*(D331-G331)</f>
        <v>1</v>
      </c>
    </row>
    <row r="332" spans="1:15" x14ac:dyDescent="0.3">
      <c r="A332" s="1">
        <v>45987</v>
      </c>
      <c r="B332" t="s">
        <v>6</v>
      </c>
      <c r="C332">
        <v>6812.61</v>
      </c>
      <c r="D332">
        <v>15162.52205</v>
      </c>
      <c r="E332" s="2">
        <v>4.013980074880176E-2</v>
      </c>
      <c r="F332" s="1">
        <v>52947</v>
      </c>
      <c r="G332">
        <v>6471.9794999999995</v>
      </c>
      <c r="H332">
        <v>0.252139</v>
      </c>
      <c r="J332" s="3">
        <f t="shared" si="5"/>
        <v>19.068493150684933</v>
      </c>
      <c r="K332" s="3">
        <f>(LN(D332/G332)+H332^2*J332/2)/(H332*SQRT(J332))</f>
        <v>1.3237412030356732</v>
      </c>
      <c r="L332" s="3">
        <f>K332-H332*SQRT(J332)</f>
        <v>0.22271358311889</v>
      </c>
      <c r="M332" s="3">
        <f>EXP(-E332*J332)*(D332*_xlfn.NORM.DIST(K332,0,1,TRUE)-G332*_xlfn.NORM.DIST(L332,0,1,TRUE))</f>
        <v>4627.8315250973183</v>
      </c>
      <c r="N332" s="3">
        <f>EXP(-E332*J332)*(G332*_xlfn.NORM.DIST(-L332,0,1,TRUE)-D332*_xlfn.NORM.DIST(-K332,0,1,TRUE))</f>
        <v>585.46677258401144</v>
      </c>
      <c r="O332" s="3" t="b">
        <f>(M332-N332)=EXP(-E332*J332)*(D332-G332)</f>
        <v>1</v>
      </c>
    </row>
    <row r="333" spans="1:15" x14ac:dyDescent="0.3">
      <c r="A333" s="1">
        <v>45987</v>
      </c>
      <c r="B333" t="s">
        <v>6</v>
      </c>
      <c r="C333">
        <v>6812.61</v>
      </c>
      <c r="D333">
        <v>15162.52205</v>
      </c>
      <c r="E333" s="2">
        <v>4.013980074880176E-2</v>
      </c>
      <c r="F333" s="1">
        <v>52947</v>
      </c>
      <c r="G333">
        <v>6812.61</v>
      </c>
      <c r="H333">
        <v>0.24912599999999999</v>
      </c>
      <c r="J333" s="3">
        <f t="shared" si="5"/>
        <v>19.068493150684933</v>
      </c>
      <c r="K333" s="3">
        <f>(LN(D333/G333)+H333^2*J333/2)/(H333*SQRT(J333))</f>
        <v>1.2793641466219128</v>
      </c>
      <c r="L333" s="3">
        <f>K333-H333*SQRT(J333)</f>
        <v>0.19149354017313436</v>
      </c>
      <c r="M333" s="3">
        <f>EXP(-E333*J333)*(D333*_xlfn.NORM.DIST(K333,0,1,TRUE)-G333*_xlfn.NORM.DIST(L333,0,1,TRUE))</f>
        <v>4519.7472183092568</v>
      </c>
      <c r="N333" s="3">
        <f>EXP(-E333*J333)*(G333*_xlfn.NORM.DIST(-L333,0,1,TRUE)-D333*_xlfn.NORM.DIST(-K333,0,1,TRUE))</f>
        <v>635.82513136128762</v>
      </c>
      <c r="O333" s="3" t="b">
        <f>(M333-N333)=EXP(-E333*J333)*(D333-G333)</f>
        <v>1</v>
      </c>
    </row>
    <row r="334" spans="1:15" x14ac:dyDescent="0.3">
      <c r="A334" s="1">
        <v>45987</v>
      </c>
      <c r="B334" t="s">
        <v>6</v>
      </c>
      <c r="C334">
        <v>6812.61</v>
      </c>
      <c r="D334">
        <v>15162.52205</v>
      </c>
      <c r="E334" s="2">
        <v>4.013980074880176E-2</v>
      </c>
      <c r="F334" s="1">
        <v>52947</v>
      </c>
      <c r="G334">
        <v>7153.240499999999</v>
      </c>
      <c r="H334">
        <v>0.24623999999999999</v>
      </c>
      <c r="J334" s="3">
        <f t="shared" si="5"/>
        <v>19.068493150684933</v>
      </c>
      <c r="K334" s="3">
        <f>(LN(D334/G334)+H334^2*J334/2)/(H334*SQRT(J334))</f>
        <v>1.2363074751825238</v>
      </c>
      <c r="L334" s="3">
        <f>K334-H334*SQRT(J334)</f>
        <v>0.16103930513223941</v>
      </c>
      <c r="M334" s="3">
        <f>EXP(-E334*J334)*(D334*_xlfn.NORM.DIST(K334,0,1,TRUE)-G334*_xlfn.NORM.DIST(L334,0,1,TRUE))</f>
        <v>4413.3704958993922</v>
      </c>
      <c r="N334" s="3">
        <f>EXP(-E334*J334)*(G334*_xlfn.NORM.DIST(-L334,0,1,TRUE)-D334*_xlfn.NORM.DIST(-K334,0,1,TRUE))</f>
        <v>687.89107451675943</v>
      </c>
      <c r="O334" s="3" t="b">
        <f>(M334-N334)=EXP(-E334*J334)*(D334-G334)</f>
        <v>1</v>
      </c>
    </row>
    <row r="335" spans="1:15" x14ac:dyDescent="0.3">
      <c r="A335" s="1">
        <v>45987</v>
      </c>
      <c r="B335" t="s">
        <v>6</v>
      </c>
      <c r="C335">
        <v>6812.61</v>
      </c>
      <c r="D335">
        <v>15162.52205</v>
      </c>
      <c r="E335" s="2">
        <v>4.013980074880176E-2</v>
      </c>
      <c r="F335" s="1">
        <v>52947</v>
      </c>
      <c r="G335">
        <v>7493.8710000000001</v>
      </c>
      <c r="H335">
        <v>0.24346999999999996</v>
      </c>
      <c r="J335" s="3">
        <f t="shared" si="5"/>
        <v>19.068493150684933</v>
      </c>
      <c r="K335" s="3">
        <f>(LN(D335/G335)+H335^2*J335/2)/(H335*SQRT(J335))</f>
        <v>1.1944525970935382</v>
      </c>
      <c r="L335" s="3">
        <f>K335-H335*SQRT(J335)</f>
        <v>0.13128032060660377</v>
      </c>
      <c r="M335" s="3">
        <f>EXP(-E335*J335)*(D335*_xlfn.NORM.DIST(K335,0,1,TRUE)-G335*_xlfn.NORM.DIST(L335,0,1,TRUE))</f>
        <v>4308.6862860957517</v>
      </c>
      <c r="N335" s="3">
        <f>EXP(-E335*J335)*(G335*_xlfn.NORM.DIST(-L335,0,1,TRUE)-D335*_xlfn.NORM.DIST(-K335,0,1,TRUE))</f>
        <v>741.64953027845854</v>
      </c>
      <c r="O335" s="3" t="b">
        <f>(M335-N335)=EXP(-E335*J335)*(D335-G335)</f>
        <v>1</v>
      </c>
    </row>
    <row r="336" spans="1:15" x14ac:dyDescent="0.3">
      <c r="A336" s="1">
        <v>45987</v>
      </c>
      <c r="B336" t="s">
        <v>6</v>
      </c>
      <c r="C336">
        <v>6812.61</v>
      </c>
      <c r="D336">
        <v>15162.52205</v>
      </c>
      <c r="E336" s="2">
        <v>4.013980074880176E-2</v>
      </c>
      <c r="F336" s="1">
        <v>52947</v>
      </c>
      <c r="G336">
        <v>8175.1319999999996</v>
      </c>
      <c r="H336">
        <v>0.23823800000000003</v>
      </c>
      <c r="J336" s="3">
        <f t="shared" si="5"/>
        <v>19.068493150684933</v>
      </c>
      <c r="K336" s="3">
        <f>(LN(D336/G336)+H336^2*J336/2)/(H336*SQRT(J336))</f>
        <v>1.1139479344513143</v>
      </c>
      <c r="L336" s="3">
        <f>K336-H336*SQRT(J336)</f>
        <v>7.3622486528800879E-2</v>
      </c>
      <c r="M336" s="3">
        <f>EXP(-E336*J336)*(D336*_xlfn.NORM.DIST(K336,0,1,TRUE)-G336*_xlfn.NORM.DIST(L336,0,1,TRUE))</f>
        <v>4104.3208607847992</v>
      </c>
      <c r="N336" s="3">
        <f>EXP(-E336*J336)*(G336*_xlfn.NORM.DIST(-L336,0,1,TRUE)-D336*_xlfn.NORM.DIST(-K336,0,1,TRUE))</f>
        <v>854.1694360981802</v>
      </c>
      <c r="O336" s="3" t="b">
        <f>(M336-N336)=EXP(-E336*J336)*(D336-G336)</f>
        <v>1</v>
      </c>
    </row>
    <row r="337" spans="1:15" x14ac:dyDescent="0.3">
      <c r="A337" s="1">
        <v>45987</v>
      </c>
      <c r="B337" t="s">
        <v>6</v>
      </c>
      <c r="C337">
        <v>6812.61</v>
      </c>
      <c r="D337">
        <v>15162.52205</v>
      </c>
      <c r="E337" s="2">
        <v>4.013980074880176E-2</v>
      </c>
      <c r="F337" s="1">
        <v>52947</v>
      </c>
      <c r="G337">
        <v>8856.393</v>
      </c>
      <c r="H337">
        <v>0.23336499999999996</v>
      </c>
      <c r="J337" s="3">
        <f t="shared" si="5"/>
        <v>19.068493150684933</v>
      </c>
      <c r="K337" s="3">
        <f>(LN(D337/G337)+H337^2*J337/2)/(H337*SQRT(J337))</f>
        <v>1.037160763446596</v>
      </c>
      <c r="L337" s="3">
        <f>K337-H337*SQRT(J337)</f>
        <v>1.8114481348705302E-2</v>
      </c>
      <c r="M337" s="3">
        <f>EXP(-E337*J337)*(D337*_xlfn.NORM.DIST(K337,0,1,TRUE)-G337*_xlfn.NORM.DIST(L337,0,1,TRUE))</f>
        <v>3906.5315392369757</v>
      </c>
      <c r="N337" s="3">
        <f>EXP(-E337*J337)*(G337*_xlfn.NORM.DIST(-L337,0,1,TRUE)-D337*_xlfn.NORM.DIST(-K337,0,1,TRUE))</f>
        <v>973.26544568103054</v>
      </c>
      <c r="O337" s="3" t="b">
        <f>(M337-N337)=EXP(-E337*J337)*(D337-G337)</f>
        <v>0</v>
      </c>
    </row>
    <row r="338" spans="1:15" x14ac:dyDescent="0.3">
      <c r="A338" s="1">
        <v>45987</v>
      </c>
      <c r="B338" t="s">
        <v>6</v>
      </c>
      <c r="C338">
        <v>6812.61</v>
      </c>
      <c r="D338">
        <v>15162.52205</v>
      </c>
      <c r="E338" s="2">
        <v>4.013980074880176E-2</v>
      </c>
      <c r="F338" s="1">
        <v>52947</v>
      </c>
      <c r="G338">
        <v>9537.6539999999986</v>
      </c>
      <c r="H338">
        <v>0.228798</v>
      </c>
      <c r="J338" s="3">
        <f t="shared" si="5"/>
        <v>19.068493150684933</v>
      </c>
      <c r="K338" s="3">
        <f>(LN(D338/G338)+H338^2*J338/2)/(H338*SQRT(J338))</f>
        <v>0.96354690125722242</v>
      </c>
      <c r="L338" s="3">
        <f>K338-H338*SQRT(J338)</f>
        <v>-3.5556440081166985E-2</v>
      </c>
      <c r="M338" s="3">
        <f>EXP(-E338*J338)*(D338*_xlfn.NORM.DIST(K338,0,1,TRUE)-G338*_xlfn.NORM.DIST(L338,0,1,TRUE))</f>
        <v>3715.1918619171674</v>
      </c>
      <c r="N338" s="3">
        <f>EXP(-E338*J338)*(G338*_xlfn.NORM.DIST(-L338,0,1,TRUE)-D338*_xlfn.NORM.DIST(-K338,0,1,TRUE))</f>
        <v>1098.8110994918966</v>
      </c>
      <c r="O338" s="3" t="b">
        <f>(M338-N338)=EXP(-E338*J338)*(D338-G338)</f>
        <v>1</v>
      </c>
    </row>
    <row r="339" spans="1:15" x14ac:dyDescent="0.3">
      <c r="A339" s="1">
        <v>45987</v>
      </c>
      <c r="B339" t="s">
        <v>6</v>
      </c>
      <c r="C339">
        <v>6812.61</v>
      </c>
      <c r="D339">
        <v>15162.52205</v>
      </c>
      <c r="E339" s="2">
        <v>4.013980074880176E-2</v>
      </c>
      <c r="F339" s="1">
        <v>52947</v>
      </c>
      <c r="G339">
        <v>10218.915000000001</v>
      </c>
      <c r="H339">
        <v>0.224495</v>
      </c>
      <c r="J339" s="3">
        <f t="shared" si="5"/>
        <v>19.068493150684933</v>
      </c>
      <c r="K339" s="3">
        <f>(LN(D339/G339)+H339^2*J339/2)/(H339*SQRT(J339))</f>
        <v>0.89266705860107964</v>
      </c>
      <c r="L339" s="3">
        <f>K339-H339*SQRT(J339)</f>
        <v>-8.7646163602618565E-2</v>
      </c>
      <c r="M339" s="3">
        <f>EXP(-E339*J339)*(D339*_xlfn.NORM.DIST(K339,0,1,TRUE)-G339*_xlfn.NORM.DIST(L339,0,1,TRUE))</f>
        <v>3530.1835209006808</v>
      </c>
      <c r="N339" s="3">
        <f>EXP(-E339*J339)*(G339*_xlfn.NORM.DIST(-L339,0,1,TRUE)-D339*_xlfn.NORM.DIST(-K339,0,1,TRUE))</f>
        <v>1230.6880896060859</v>
      </c>
      <c r="O339" s="3" t="b">
        <f>(M339-N339)=EXP(-E339*J339)*(D339-G339)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60CA-3152-4240-804A-CD843375CB5F}">
  <dimension ref="A1:O339"/>
  <sheetViews>
    <sheetView workbookViewId="0">
      <selection activeCell="E1" sqref="E1:E1048576"/>
    </sheetView>
  </sheetViews>
  <sheetFormatPr defaultRowHeight="14.4" x14ac:dyDescent="0.3"/>
  <cols>
    <col min="1" max="1" width="13.44140625" bestFit="1" customWidth="1"/>
    <col min="2" max="2" width="14" bestFit="1" customWidth="1"/>
    <col min="3" max="3" width="8" bestFit="1" customWidth="1"/>
    <col min="4" max="4" width="12" bestFit="1" customWidth="1"/>
    <col min="5" max="5" width="13.44140625" bestFit="1" customWidth="1"/>
    <col min="6" max="6" width="9.5546875" bestFit="1" customWidth="1"/>
    <col min="7" max="7" width="10" bestFit="1" customWidth="1"/>
    <col min="8" max="8" width="9" bestFit="1" customWidth="1"/>
    <col min="10" max="10" width="12.33203125" style="3" bestFit="1" customWidth="1"/>
    <col min="11" max="12" width="12.6640625" style="3" bestFit="1" customWidth="1"/>
    <col min="13" max="14" width="12" style="3" bestFit="1" customWidth="1"/>
    <col min="15" max="15" width="11.88671875" style="3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11</v>
      </c>
      <c r="F1" s="4" t="s">
        <v>4</v>
      </c>
      <c r="G1" s="4" t="s">
        <v>8</v>
      </c>
      <c r="H1" s="4" t="s">
        <v>5</v>
      </c>
      <c r="J1" s="5" t="s">
        <v>7</v>
      </c>
      <c r="K1" s="5" t="s">
        <v>12</v>
      </c>
      <c r="L1" s="5" t="s">
        <v>13</v>
      </c>
      <c r="M1" s="5" t="s">
        <v>9</v>
      </c>
      <c r="N1" s="5" t="s">
        <v>10</v>
      </c>
      <c r="O1" s="5" t="s">
        <v>14</v>
      </c>
    </row>
    <row r="2" spans="1:15" x14ac:dyDescent="0.3">
      <c r="A2" s="1">
        <v>45987</v>
      </c>
      <c r="B2" t="s">
        <v>15</v>
      </c>
      <c r="C2">
        <v>9691.58</v>
      </c>
      <c r="D2">
        <v>9694.5796699999992</v>
      </c>
      <c r="E2" s="2">
        <v>3.9712608673546736E-2</v>
      </c>
      <c r="F2" s="1">
        <v>45989</v>
      </c>
      <c r="G2">
        <v>4845.79</v>
      </c>
      <c r="H2">
        <v>0.75614700000000001</v>
      </c>
      <c r="J2" s="3">
        <f>(F2-A2)/365</f>
        <v>5.4794520547945206E-3</v>
      </c>
      <c r="K2" s="3">
        <f>(LN(D2/G2)+H2^2*J2/2)/(H2*SQRT(J2))</f>
        <v>12.417221961519891</v>
      </c>
      <c r="L2" s="3">
        <f>K2-H2*SQRT(J2)</f>
        <v>12.361249449400763</v>
      </c>
      <c r="M2" s="3">
        <f>EXP(-E2*J2)*(D2*_xlfn.NORM.DIST(K2,0,1,TRUE)-G2*_xlfn.NORM.DIST(L2,0,1,TRUE))</f>
        <v>4847.7346719858424</v>
      </c>
      <c r="N2" s="3">
        <f>EXP(-E2*J2)*(G2*_xlfn.NORM.DIST(-L2,0,1,TRUE)-D2*_xlfn.NORM.DIST(-K2,0,1,TRUE))</f>
        <v>4.5662656432947683E-34</v>
      </c>
      <c r="O2" s="3" t="b">
        <f>(M2-N2)=EXP(-E2*J2)*(D2-G2)</f>
        <v>1</v>
      </c>
    </row>
    <row r="3" spans="1:15" x14ac:dyDescent="0.3">
      <c r="A3" s="1">
        <v>45987</v>
      </c>
      <c r="B3" t="s">
        <v>15</v>
      </c>
      <c r="C3">
        <v>9691.58</v>
      </c>
      <c r="D3">
        <v>9694.5796699999992</v>
      </c>
      <c r="E3" s="2">
        <v>3.9712608673546736E-2</v>
      </c>
      <c r="F3" s="1">
        <v>45989</v>
      </c>
      <c r="G3">
        <v>5814.9480000000003</v>
      </c>
      <c r="H3">
        <v>0.60948199999999997</v>
      </c>
      <c r="J3" s="3">
        <f>(F3-A3)/365</f>
        <v>5.4794520547945206E-3</v>
      </c>
      <c r="K3" s="3">
        <f>(LN(D3/G3)+H3^2*J3/2)/(H3*SQRT(J3))</f>
        <v>11.351940613746546</v>
      </c>
      <c r="L3" s="3">
        <f>K3-H3*SQRT(J3)</f>
        <v>11.306824732004781</v>
      </c>
      <c r="M3" s="3">
        <f>EXP(-E3*J3)*(D3*_xlfn.NORM.DIST(K3,0,1,TRUE)-G3*_xlfn.NORM.DIST(L3,0,1,TRUE))</f>
        <v>3878.7875410552365</v>
      </c>
      <c r="N3" s="3">
        <f>EXP(-E3*J3)*(G3*_xlfn.NORM.DIST(-L3,0,1,TRUE)-D3*_xlfn.NORM.DIST(-K3,0,1,TRUE))</f>
        <v>1.3815259051454459E-28</v>
      </c>
      <c r="O3" s="3" t="b">
        <f>(M3-N3)=EXP(-E3*J3)*(D3-G3)</f>
        <v>1</v>
      </c>
    </row>
    <row r="4" spans="1:15" x14ac:dyDescent="0.3">
      <c r="A4" s="1">
        <v>45987</v>
      </c>
      <c r="B4" t="s">
        <v>15</v>
      </c>
      <c r="C4">
        <v>9691.58</v>
      </c>
      <c r="D4">
        <v>9694.5796699999992</v>
      </c>
      <c r="E4" s="2">
        <v>3.9712608673546736E-2</v>
      </c>
      <c r="F4" s="1">
        <v>45989</v>
      </c>
      <c r="G4">
        <v>6784.1059999999998</v>
      </c>
      <c r="H4">
        <v>0.47768300000000002</v>
      </c>
      <c r="J4" s="3">
        <f>(F4-A4)/365</f>
        <v>5.4794520547945206E-3</v>
      </c>
      <c r="K4" s="3">
        <f>(LN(D4/G4)+H4^2*J4/2)/(H4*SQRT(J4))</f>
        <v>10.11348354472999</v>
      </c>
      <c r="L4" s="3">
        <f>K4-H4*SQRT(J4)</f>
        <v>10.078123862675307</v>
      </c>
      <c r="M4" s="3">
        <f>EXP(-E4*J4)*(D4*_xlfn.NORM.DIST(K4,0,1,TRUE)-G4*_xlfn.NORM.DIST(L4,0,1,TRUE))</f>
        <v>2909.8404101246319</v>
      </c>
      <c r="N4" s="3">
        <f>EXP(-E4*J4)*(G4*_xlfn.NORM.DIST(-L4,0,1,TRUE)-D4*_xlfn.NORM.DIST(-K4,0,1,TRUE))</f>
        <v>8.032100789123383E-23</v>
      </c>
      <c r="O4" s="3" t="b">
        <f>(M4-N4)=EXP(-E4*J4)*(D4-G4)</f>
        <v>1</v>
      </c>
    </row>
    <row r="5" spans="1:15" x14ac:dyDescent="0.3">
      <c r="A5" s="1">
        <v>45987</v>
      </c>
      <c r="B5" t="s">
        <v>15</v>
      </c>
      <c r="C5">
        <v>9691.58</v>
      </c>
      <c r="D5">
        <v>9694.5796699999992</v>
      </c>
      <c r="E5" s="2">
        <v>3.9712608673546736E-2</v>
      </c>
      <c r="F5" s="1">
        <v>45989</v>
      </c>
      <c r="G5">
        <v>7753.2640000000001</v>
      </c>
      <c r="H5">
        <v>0.35439799999999999</v>
      </c>
      <c r="J5" s="3">
        <f>(F5-A5)/365</f>
        <v>5.4794520547945206E-3</v>
      </c>
      <c r="K5" s="3">
        <f>(LN(D5/G5)+H5^2*J5/2)/(H5*SQRT(J5))</f>
        <v>8.5308963665193023</v>
      </c>
      <c r="L5" s="3">
        <f>K5-H5*SQRT(J5)</f>
        <v>8.5046626495965416</v>
      </c>
      <c r="M5" s="3">
        <f>EXP(-E5*J5)*(D5*_xlfn.NORM.DIST(K5,0,1,TRUE)-G5*_xlfn.NORM.DIST(L5,0,1,TRUE))</f>
        <v>1940.8932791940267</v>
      </c>
      <c r="N5" s="3">
        <f>EXP(-E5*J5)*(G5*_xlfn.NORM.DIST(-L5,0,1,TRUE)-D5*_xlfn.NORM.DIST(-K5,0,1,TRUE))</f>
        <v>2.1146655336435496E-16</v>
      </c>
      <c r="O5" s="3" t="b">
        <f>(M5-N5)=EXP(-E5*J5)*(D5-G5)</f>
        <v>1</v>
      </c>
    </row>
    <row r="6" spans="1:15" x14ac:dyDescent="0.3">
      <c r="A6" s="1">
        <v>45987</v>
      </c>
      <c r="B6" t="s">
        <v>15</v>
      </c>
      <c r="C6">
        <v>9691.58</v>
      </c>
      <c r="D6">
        <v>9694.5796699999992</v>
      </c>
      <c r="E6" s="2">
        <v>3.9712608673546736E-2</v>
      </c>
      <c r="F6" s="1">
        <v>45989</v>
      </c>
      <c r="G6">
        <v>8722.4219999999987</v>
      </c>
      <c r="H6">
        <v>0.23316600000000001</v>
      </c>
      <c r="J6" s="3">
        <f>(F6-A6)/365</f>
        <v>5.4794520547945206E-3</v>
      </c>
      <c r="K6" s="3">
        <f>(LN(D6/G6)+H6^2*J6/2)/(H6*SQRT(J6))</f>
        <v>6.1309754464500177</v>
      </c>
      <c r="L6" s="3">
        <f>K6-H6*SQRT(J6)</f>
        <v>6.113715724781124</v>
      </c>
      <c r="M6" s="3">
        <f>EXP(-E6*J6)*(D6*_xlfn.NORM.DIST(K6,0,1,TRUE)-G6*_xlfn.NORM.DIST(L6,0,1,TRUE))</f>
        <v>971.94614827480552</v>
      </c>
      <c r="N6" s="3">
        <f>EXP(-E6*J6)*(G6*_xlfn.NORM.DIST(-L6,0,1,TRUE)-D6*_xlfn.NORM.DIST(-K6,0,1,TRUE))</f>
        <v>1.1382853660080836E-8</v>
      </c>
      <c r="O6" s="3" t="b">
        <f>(M6-N6)=EXP(-E6*J6)*(D6-G6)</f>
        <v>1</v>
      </c>
    </row>
    <row r="7" spans="1:15" x14ac:dyDescent="0.3">
      <c r="A7" s="1">
        <v>45987</v>
      </c>
      <c r="B7" t="s">
        <v>15</v>
      </c>
      <c r="C7">
        <v>9691.58</v>
      </c>
      <c r="D7">
        <v>9694.5796699999992</v>
      </c>
      <c r="E7" s="2">
        <v>3.9712608673546736E-2</v>
      </c>
      <c r="F7" s="1">
        <v>45989</v>
      </c>
      <c r="G7">
        <v>9207.0010000000002</v>
      </c>
      <c r="H7">
        <v>0.17041799999999999</v>
      </c>
      <c r="J7" s="3">
        <f>(F7-A7)/365</f>
        <v>5.4794520547945206E-3</v>
      </c>
      <c r="K7" s="3">
        <f>(LN(D7/G7)+H7^2*J7/2)/(H7*SQRT(J7))</f>
        <v>4.0969251860957172</v>
      </c>
      <c r="L7" s="3">
        <f>K7-H7*SQRT(J7)</f>
        <v>4.0843102797741713</v>
      </c>
      <c r="M7" s="3">
        <f>EXP(-E7*J7)*(D7*_xlfn.NORM.DIST(K7,0,1,TRUE)-G7*_xlfn.NORM.DIST(L7,0,1,TRUE))</f>
        <v>487.47315040432466</v>
      </c>
      <c r="N7" s="3">
        <f>EXP(-E7*J7)*(G7*_xlfn.NORM.DIST(-L7,0,1,TRUE)-D7*_xlfn.NORM.DIST(-K7,0,1,TRUE))</f>
        <v>5.6760620504225348E-4</v>
      </c>
      <c r="O7" s="3" t="b">
        <f>(M7-N7)=EXP(-E7*J7)*(D7-G7)</f>
        <v>0</v>
      </c>
    </row>
    <row r="8" spans="1:15" x14ac:dyDescent="0.3">
      <c r="A8" s="1">
        <v>45987</v>
      </c>
      <c r="B8" t="s">
        <v>15</v>
      </c>
      <c r="C8">
        <v>9691.58</v>
      </c>
      <c r="D8">
        <v>9694.5796699999992</v>
      </c>
      <c r="E8" s="2">
        <v>3.9712608673546736E-2</v>
      </c>
      <c r="F8" s="1">
        <v>45989</v>
      </c>
      <c r="G8">
        <v>9691.58</v>
      </c>
      <c r="H8">
        <v>0.107559</v>
      </c>
      <c r="J8" s="3">
        <f>(F8-A8)/365</f>
        <v>5.4794520547945206E-3</v>
      </c>
      <c r="K8" s="3">
        <f>(LN(D8/G8)+H8^2*J8/2)/(H8*SQRT(J8))</f>
        <v>4.2849311107099088E-2</v>
      </c>
      <c r="L8" s="3">
        <f>K8-H8*SQRT(J8)</f>
        <v>3.4887436721534666E-2</v>
      </c>
      <c r="M8" s="3">
        <f>EXP(-E8*J8)*(D8*_xlfn.NORM.DIST(K8,0,1,TRUE)-G8*_xlfn.NORM.DIST(L8,0,1,TRUE))</f>
        <v>32.304381082061184</v>
      </c>
      <c r="N8" s="3">
        <f>EXP(-E8*J8)*(G8*_xlfn.NORM.DIST(-L8,0,1,TRUE)-D8*_xlfn.NORM.DIST(-K8,0,1,TRUE))</f>
        <v>29.305363749244581</v>
      </c>
      <c r="O8" s="3" t="b">
        <f>(M8-N8)=EXP(-E8*J8)*(D8-G8)</f>
        <v>1</v>
      </c>
    </row>
    <row r="9" spans="1:15" x14ac:dyDescent="0.3">
      <c r="A9" s="1">
        <v>45987</v>
      </c>
      <c r="B9" t="s">
        <v>15</v>
      </c>
      <c r="C9">
        <v>9691.58</v>
      </c>
      <c r="D9">
        <v>9694.5796699999992</v>
      </c>
      <c r="E9" s="2">
        <v>3.9712608673546736E-2</v>
      </c>
      <c r="F9" s="1">
        <v>45989</v>
      </c>
      <c r="G9">
        <v>10176.159</v>
      </c>
      <c r="H9">
        <v>0.10424700000000001</v>
      </c>
      <c r="J9" s="3">
        <f>(F9-A9)/365</f>
        <v>5.4794520547945206E-3</v>
      </c>
      <c r="K9" s="3">
        <f>(LN(D9/G9)+H9^2*J9/2)/(H9*SQRT(J9))</f>
        <v>-6.2787030507255253</v>
      </c>
      <c r="L9" s="3">
        <f>K9-H9*SQRT(J9)</f>
        <v>-6.2864197598718725</v>
      </c>
      <c r="M9" s="3">
        <f>EXP(-E9*J9)*(D9*_xlfn.NORM.DIST(K9,0,1,TRUE)-G9*_xlfn.NORM.DIST(L9,0,1,TRUE))</f>
        <v>1.9391868998177093E-9</v>
      </c>
      <c r="N9" s="3">
        <f>EXP(-E9*J9)*(G9*_xlfn.NORM.DIST(-L9,0,1,TRUE)-D9*_xlfn.NORM.DIST(-K9,0,1,TRUE))</f>
        <v>481.47454813442431</v>
      </c>
      <c r="O9" s="3" t="b">
        <f>(M9-N9)=EXP(-E9*J9)*(D9-G9)</f>
        <v>0</v>
      </c>
    </row>
    <row r="10" spans="1:15" x14ac:dyDescent="0.3">
      <c r="A10" s="1">
        <v>45987</v>
      </c>
      <c r="B10" t="s">
        <v>15</v>
      </c>
      <c r="C10">
        <v>9691.58</v>
      </c>
      <c r="D10">
        <v>9694.5796699999992</v>
      </c>
      <c r="E10" s="2">
        <v>3.9712608673546736E-2</v>
      </c>
      <c r="F10" s="1">
        <v>45989</v>
      </c>
      <c r="G10">
        <v>10660.738000000001</v>
      </c>
      <c r="H10">
        <v>0.14064399999999999</v>
      </c>
      <c r="J10" s="3">
        <f>(F10-A10)/365</f>
        <v>5.4794520547945206E-3</v>
      </c>
      <c r="K10" s="3">
        <f>(LN(D10/G10)+H10^2*J10/2)/(H10*SQRT(J10))</f>
        <v>-9.1198832891621908</v>
      </c>
      <c r="L10" s="3">
        <f>K10-H10*SQRT(J10)</f>
        <v>-9.1302942251236932</v>
      </c>
      <c r="M10" s="3">
        <f>EXP(-E10*J10)*(D10*_xlfn.NORM.DIST(K10,0,1,TRUE)-G10*_xlfn.NORM.DIST(L10,0,1,TRUE))</f>
        <v>4.0615785302209926E-19</v>
      </c>
      <c r="N10" s="3">
        <f>EXP(-E10*J10)*(G10*_xlfn.NORM.DIST(-L10,0,1,TRUE)-D10*_xlfn.NORM.DIST(-K10,0,1,TRUE))</f>
        <v>965.94811359778976</v>
      </c>
      <c r="O10" s="3" t="b">
        <f>(M10-N10)=EXP(-E10*J10)*(D10-G10)</f>
        <v>1</v>
      </c>
    </row>
    <row r="11" spans="1:15" x14ac:dyDescent="0.3">
      <c r="A11" s="1">
        <v>45987</v>
      </c>
      <c r="B11" t="s">
        <v>15</v>
      </c>
      <c r="C11">
        <v>9691.58</v>
      </c>
      <c r="D11">
        <v>9694.5796699999992</v>
      </c>
      <c r="E11" s="2">
        <v>3.9712608673546736E-2</v>
      </c>
      <c r="F11" s="1">
        <v>45989</v>
      </c>
      <c r="G11">
        <v>11629.896000000001</v>
      </c>
      <c r="H11">
        <v>0.20994399999999999</v>
      </c>
      <c r="J11" s="3">
        <f>(F11-A11)/365</f>
        <v>5.4794520547945206E-3</v>
      </c>
      <c r="K11" s="3">
        <f>(LN(D11/G11)+H11^2*J11/2)/(H11*SQRT(J11))</f>
        <v>-11.704152600155076</v>
      </c>
      <c r="L11" s="3">
        <f>K11-H11*SQRT(J11)</f>
        <v>-11.719693352263249</v>
      </c>
      <c r="M11" s="3">
        <f>EXP(-E11*J11)*(D11*_xlfn.NORM.DIST(K11,0,1,TRUE)-G11*_xlfn.NORM.DIST(L11,0,1,TRUE))</f>
        <v>7.6895956071688494E-31</v>
      </c>
      <c r="N11" s="3">
        <f>EXP(-E11*J11)*(G11*_xlfn.NORM.DIST(-L11,0,1,TRUE)-D11*_xlfn.NORM.DIST(-K11,0,1,TRUE))</f>
        <v>1934.8952445283944</v>
      </c>
      <c r="O11" s="3" t="b">
        <f>(M11-N11)=EXP(-E11*J11)*(D11-G11)</f>
        <v>1</v>
      </c>
    </row>
    <row r="12" spans="1:15" x14ac:dyDescent="0.3">
      <c r="A12" s="1">
        <v>45987</v>
      </c>
      <c r="B12" t="s">
        <v>15</v>
      </c>
      <c r="C12">
        <v>9691.58</v>
      </c>
      <c r="D12">
        <v>9694.5796699999992</v>
      </c>
      <c r="E12" s="2">
        <v>3.9712608673546736E-2</v>
      </c>
      <c r="F12" s="1">
        <v>45989</v>
      </c>
      <c r="G12">
        <v>12599.053999999998</v>
      </c>
      <c r="H12">
        <v>0.27013300000000001</v>
      </c>
      <c r="J12" s="3">
        <f>(F12-A12)/365</f>
        <v>5.4794520547945206E-3</v>
      </c>
      <c r="K12" s="3">
        <f>(LN(D12/G12)+H12^2*J12/2)/(H12*SQRT(J12))</f>
        <v>-13.095270049276008</v>
      </c>
      <c r="L12" s="3">
        <f>K12-H12*SQRT(J12)</f>
        <v>-13.11526619105304</v>
      </c>
      <c r="M12" s="3">
        <f>EXP(-E12*J12)*(D12*_xlfn.NORM.DIST(K12,0,1,TRUE)-G12*_xlfn.NORM.DIST(L12,0,1,TRUE))</f>
        <v>2.5599363319748408E-38</v>
      </c>
      <c r="N12" s="3">
        <f>EXP(-E12*J12)*(G12*_xlfn.NORM.DIST(-L12,0,1,TRUE)-D12*_xlfn.NORM.DIST(-K12,0,1,TRUE))</f>
        <v>2903.8423754589971</v>
      </c>
      <c r="O12" s="3" t="b">
        <f>(M12-N12)=EXP(-E12*J12)*(D12-G12)</f>
        <v>1</v>
      </c>
    </row>
    <row r="13" spans="1:15" x14ac:dyDescent="0.3">
      <c r="A13" s="1">
        <v>45987</v>
      </c>
      <c r="B13" t="s">
        <v>15</v>
      </c>
      <c r="C13">
        <v>9691.58</v>
      </c>
      <c r="D13">
        <v>9694.5796699999992</v>
      </c>
      <c r="E13" s="2">
        <v>3.9712608673546736E-2</v>
      </c>
      <c r="F13" s="1">
        <v>45989</v>
      </c>
      <c r="G13">
        <v>13568.212</v>
      </c>
      <c r="H13">
        <v>0.323434</v>
      </c>
      <c r="J13" s="3">
        <f>(F13-A13)/365</f>
        <v>5.4794520547945206E-3</v>
      </c>
      <c r="K13" s="3">
        <f>(LN(D13/G13)+H13^2*J13/2)/(H13*SQRT(J13))</f>
        <v>-14.028943134343258</v>
      </c>
      <c r="L13" s="3">
        <f>K13-H13*SQRT(J13)</f>
        <v>-14.052884793153963</v>
      </c>
      <c r="M13" s="3">
        <f>EXP(-E13*J13)*(D13*_xlfn.NORM.DIST(K13,0,1,TRUE)-G13*_xlfn.NORM.DIST(L13,0,1,TRUE))</f>
        <v>8.4760653380592044E-44</v>
      </c>
      <c r="N13" s="3">
        <f>EXP(-E13*J13)*(G13*_xlfn.NORM.DIST(-L13,0,1,TRUE)-D13*_xlfn.NORM.DIST(-K13,0,1,TRUE))</f>
        <v>3872.7895063896035</v>
      </c>
      <c r="O13" s="3" t="b">
        <f>(M13-N13)=EXP(-E13*J13)*(D13-G13)</f>
        <v>1</v>
      </c>
    </row>
    <row r="14" spans="1:15" x14ac:dyDescent="0.3">
      <c r="A14" s="1">
        <v>45987</v>
      </c>
      <c r="B14" t="s">
        <v>15</v>
      </c>
      <c r="C14">
        <v>9691.58</v>
      </c>
      <c r="D14">
        <v>9694.5796699999992</v>
      </c>
      <c r="E14" s="2">
        <v>3.9712608673546736E-2</v>
      </c>
      <c r="F14" s="1">
        <v>45989</v>
      </c>
      <c r="G14">
        <v>14537.37</v>
      </c>
      <c r="H14">
        <v>0.37143999999999999</v>
      </c>
      <c r="J14" s="3">
        <f>(F14-A14)/365</f>
        <v>5.4794520547945206E-3</v>
      </c>
      <c r="K14" s="3">
        <f>(LN(D14/G14)+H14^2*J14/2)/(H14*SQRT(J14))</f>
        <v>-14.721744893623454</v>
      </c>
      <c r="L14" s="3">
        <f>K14-H14*SQRT(J14)</f>
        <v>-14.749240115983033</v>
      </c>
      <c r="M14" s="3">
        <f>EXP(-E14*J14)*(D14*_xlfn.NORM.DIST(K14,0,1,TRUE)-G14*_xlfn.NORM.DIST(L14,0,1,TRUE))</f>
        <v>4.1849880729548363E-48</v>
      </c>
      <c r="N14" s="3">
        <f>EXP(-E14*J14)*(G14*_xlfn.NORM.DIST(-L14,0,1,TRUE)-D14*_xlfn.NORM.DIST(-K14,0,1,TRUE))</f>
        <v>4841.7366373202094</v>
      </c>
      <c r="O14" s="3" t="b">
        <f>(M14-N14)=EXP(-E14*J14)*(D14-G14)</f>
        <v>1</v>
      </c>
    </row>
    <row r="15" spans="1:15" x14ac:dyDescent="0.3">
      <c r="A15" s="1">
        <v>45987</v>
      </c>
      <c r="B15" t="s">
        <v>15</v>
      </c>
      <c r="C15">
        <v>9691.58</v>
      </c>
      <c r="D15">
        <v>9705.0785300000007</v>
      </c>
      <c r="E15" s="2">
        <v>3.9798965012537504E-2</v>
      </c>
      <c r="F15" s="1">
        <v>45996</v>
      </c>
      <c r="G15">
        <v>4845.79</v>
      </c>
      <c r="H15">
        <v>0.76536099999999996</v>
      </c>
      <c r="J15" s="3">
        <f>(F15-A15)/365</f>
        <v>2.4657534246575342E-2</v>
      </c>
      <c r="K15" s="3">
        <f>(LN(D15/G15)+H15^2*J15/2)/(H15*SQRT(J15))</f>
        <v>5.8391285709417575</v>
      </c>
      <c r="L15" s="3">
        <f>K15-H15*SQRT(J15)</f>
        <v>5.7189460938964869</v>
      </c>
      <c r="M15" s="3">
        <f>EXP(-E15*J15)*(D15*_xlfn.NORM.DIST(K15,0,1,TRUE)-G15*_xlfn.NORM.DIST(L15,0,1,TRUE))</f>
        <v>4854.5222342688567</v>
      </c>
      <c r="N15" s="3">
        <f>EXP(-E15*J15)*(G15*_xlfn.NORM.DIST(-L15,0,1,TRUE)-D15*_xlfn.NORM.DIST(-K15,0,1,TRUE))</f>
        <v>5.062486834512026E-7</v>
      </c>
      <c r="O15" s="3" t="b">
        <f>(M15-N15)=EXP(-E15*J15)*(D15-G15)</f>
        <v>1</v>
      </c>
    </row>
    <row r="16" spans="1:15" x14ac:dyDescent="0.3">
      <c r="A16" s="1">
        <v>45987</v>
      </c>
      <c r="B16" t="s">
        <v>15</v>
      </c>
      <c r="C16">
        <v>9691.58</v>
      </c>
      <c r="D16">
        <v>9705.0785300000007</v>
      </c>
      <c r="E16" s="2">
        <v>3.9798965012537504E-2</v>
      </c>
      <c r="F16" s="1">
        <v>45996</v>
      </c>
      <c r="G16">
        <v>5814.9480000000003</v>
      </c>
      <c r="H16">
        <v>0.61712400000000001</v>
      </c>
      <c r="J16" s="3">
        <f>(F16-A16)/365</f>
        <v>2.4657534246575342E-2</v>
      </c>
      <c r="K16" s="3">
        <f>(LN(D16/G16)+H16^2*J16/2)/(H16*SQRT(J16))</f>
        <v>5.3342087636201851</v>
      </c>
      <c r="L16" s="3">
        <f>K16-H16*SQRT(J16)</f>
        <v>5.2373035241788166</v>
      </c>
      <c r="M16" s="3">
        <f>EXP(-E16*J16)*(D16*_xlfn.NORM.DIST(K16,0,1,TRUE)-G16*_xlfn.NORM.DIST(L16,0,1,TRUE))</f>
        <v>3886.3148530434441</v>
      </c>
      <c r="N16" s="3">
        <f>EXP(-E16*J16)*(G16*_xlfn.NORM.DIST(-L16,0,1,TRUE)-D16*_xlfn.NORM.DIST(-K16,0,1,TRUE))</f>
        <v>8.0750343632079593E-6</v>
      </c>
      <c r="O16" s="3" t="b">
        <f>(M16-N16)=EXP(-E16*J16)*(D16-G16)</f>
        <v>1</v>
      </c>
    </row>
    <row r="17" spans="1:15" x14ac:dyDescent="0.3">
      <c r="A17" s="1">
        <v>45987</v>
      </c>
      <c r="B17" t="s">
        <v>15</v>
      </c>
      <c r="C17">
        <v>9691.58</v>
      </c>
      <c r="D17">
        <v>9705.0785300000007</v>
      </c>
      <c r="E17" s="2">
        <v>3.9798965012537504E-2</v>
      </c>
      <c r="F17" s="1">
        <v>45996</v>
      </c>
      <c r="G17">
        <v>6784.1059999999998</v>
      </c>
      <c r="H17">
        <v>0.483931</v>
      </c>
      <c r="J17" s="3">
        <f>(F17-A17)/365</f>
        <v>2.4657534246575342E-2</v>
      </c>
      <c r="K17" s="3">
        <f>(LN(D17/G17)+H17^2*J17/2)/(H17*SQRT(J17))</f>
        <v>4.7500004663705191</v>
      </c>
      <c r="L17" s="3">
        <f>K17-H17*SQRT(J17)</f>
        <v>4.6740101476856175</v>
      </c>
      <c r="M17" s="3">
        <f>EXP(-E17*J17)*(D17*_xlfn.NORM.DIST(K17,0,1,TRUE)-G17*_xlfn.NORM.DIST(L17,0,1,TRUE))</f>
        <v>2918.1076044459528</v>
      </c>
      <c r="N17" s="3">
        <f>EXP(-E17*J17)*(G17*_xlfn.NORM.DIST(-L17,0,1,TRUE)-D17*_xlfn.NORM.DIST(-K17,0,1,TRUE))</f>
        <v>1.4827174081034322E-4</v>
      </c>
      <c r="O17" s="3" t="b">
        <f>(M17-N17)=EXP(-E17*J17)*(D17-G17)</f>
        <v>1</v>
      </c>
    </row>
    <row r="18" spans="1:15" x14ac:dyDescent="0.3">
      <c r="A18" s="1">
        <v>45987</v>
      </c>
      <c r="B18" t="s">
        <v>15</v>
      </c>
      <c r="C18">
        <v>9691.58</v>
      </c>
      <c r="D18">
        <v>9705.0785300000007</v>
      </c>
      <c r="E18" s="2">
        <v>3.9798965012537504E-2</v>
      </c>
      <c r="F18" s="1">
        <v>45996</v>
      </c>
      <c r="G18">
        <v>7753.2640000000001</v>
      </c>
      <c r="H18">
        <v>0.359373</v>
      </c>
      <c r="J18" s="3">
        <f>(F18-A18)/365</f>
        <v>2.4657534246575342E-2</v>
      </c>
      <c r="K18" s="3">
        <f>(LN(D18/G18)+H18^2*J18/2)/(H18*SQRT(J18))</f>
        <v>4.0071295375516938</v>
      </c>
      <c r="L18" s="3">
        <f>K18-H18*SQRT(J18)</f>
        <v>3.9506982099517898</v>
      </c>
      <c r="M18" s="3">
        <f>EXP(-E18*J18)*(D18*_xlfn.NORM.DIST(K18,0,1,TRUE)-G18*_xlfn.NORM.DIST(L18,0,1,TRUE))</f>
        <v>1949.9039017938721</v>
      </c>
      <c r="N18" s="3">
        <f>EXP(-E18*J18)*(G18*_xlfn.NORM.DIST(-L18,0,1,TRUE)-D18*_xlfn.NORM.DIST(-K18,0,1,TRUE))</f>
        <v>3.8344138613882212E-3</v>
      </c>
      <c r="O18" s="3" t="b">
        <f>(M18-N18)=EXP(-E18*J18)*(D18-G18)</f>
        <v>1</v>
      </c>
    </row>
    <row r="19" spans="1:15" x14ac:dyDescent="0.3">
      <c r="A19" s="1">
        <v>45987</v>
      </c>
      <c r="B19" t="s">
        <v>15</v>
      </c>
      <c r="C19">
        <v>9691.58</v>
      </c>
      <c r="D19">
        <v>9705.0785300000007</v>
      </c>
      <c r="E19" s="2">
        <v>3.9798965012537504E-2</v>
      </c>
      <c r="F19" s="1">
        <v>45996</v>
      </c>
      <c r="G19">
        <v>8722.4219999999987</v>
      </c>
      <c r="H19">
        <v>0.236954</v>
      </c>
      <c r="J19" s="3">
        <f>(F19-A19)/365</f>
        <v>2.4657534246575342E-2</v>
      </c>
      <c r="K19" s="3">
        <f>(LN(D19/G19)+H19^2*J19/2)/(H19*SQRT(J19))</f>
        <v>2.887657328750274</v>
      </c>
      <c r="L19" s="3">
        <f>K19-H19*SQRT(J19)</f>
        <v>2.8504491111042416</v>
      </c>
      <c r="M19" s="3">
        <f>EXP(-E19*J19)*(D19*_xlfn.NORM.DIST(K19,0,1,TRUE)-G19*_xlfn.NORM.DIST(L19,0,1,TRUE))</f>
        <v>981.89865463405749</v>
      </c>
      <c r="N19" s="3">
        <f>EXP(-E19*J19)*(G19*_xlfn.NORM.DIST(-L19,0,1,TRUE)-D19*_xlfn.NORM.DIST(-K19,0,1,TRUE))</f>
        <v>0.20597604824387325</v>
      </c>
      <c r="O19" s="3" t="b">
        <f>(M19-N19)=EXP(-E19*J19)*(D19-G19)</f>
        <v>1</v>
      </c>
    </row>
    <row r="20" spans="1:15" x14ac:dyDescent="0.3">
      <c r="A20" s="1">
        <v>45987</v>
      </c>
      <c r="B20" t="s">
        <v>15</v>
      </c>
      <c r="C20">
        <v>9691.58</v>
      </c>
      <c r="D20">
        <v>9705.0785300000007</v>
      </c>
      <c r="E20" s="2">
        <v>3.9798965012537504E-2</v>
      </c>
      <c r="F20" s="1">
        <v>45996</v>
      </c>
      <c r="G20">
        <v>9207.0010000000002</v>
      </c>
      <c r="H20">
        <v>0.17363400000000001</v>
      </c>
      <c r="J20" s="3">
        <f>(F20-A20)/365</f>
        <v>2.4657534246575342E-2</v>
      </c>
      <c r="K20" s="3">
        <f>(LN(D20/G20)+H20^2*J20/2)/(H20*SQRT(J20))</f>
        <v>1.9459502198788172</v>
      </c>
      <c r="L20" s="3">
        <f>K20-H20*SQRT(J20)</f>
        <v>1.9186849630663085</v>
      </c>
      <c r="M20" s="3">
        <f>EXP(-E20*J20)*(D20*_xlfn.NORM.DIST(K20,0,1,TRUE)-G20*_xlfn.NORM.DIST(L20,0,1,TRUE))</f>
        <v>500.20475004304615</v>
      </c>
      <c r="N20" s="3">
        <f>EXP(-E20*J20)*(G20*_xlfn.NORM.DIST(-L20,0,1,TRUE)-D20*_xlfn.NORM.DIST(-K20,0,1,TRUE))</f>
        <v>2.6157658543330937</v>
      </c>
      <c r="O20" s="3" t="b">
        <f>(M20-N20)=EXP(-E20*J20)*(D20-G20)</f>
        <v>1</v>
      </c>
    </row>
    <row r="21" spans="1:15" x14ac:dyDescent="0.3">
      <c r="A21" s="1">
        <v>45987</v>
      </c>
      <c r="B21" t="s">
        <v>15</v>
      </c>
      <c r="C21">
        <v>9691.58</v>
      </c>
      <c r="D21">
        <v>9705.0785300000007</v>
      </c>
      <c r="E21" s="2">
        <v>3.9798965012537504E-2</v>
      </c>
      <c r="F21" s="1">
        <v>45996</v>
      </c>
      <c r="G21">
        <v>9691.58</v>
      </c>
      <c r="H21">
        <v>0.10992200000000001</v>
      </c>
      <c r="J21" s="3">
        <f>(F21-A21)/365</f>
        <v>2.4657534246575342E-2</v>
      </c>
      <c r="K21" s="3">
        <f>(LN(D21/G21)+H21^2*J21/2)/(H21*SQRT(J21))</f>
        <v>8.9266593697247335E-2</v>
      </c>
      <c r="L21" s="3">
        <f>K21-H21*SQRT(J21)</f>
        <v>7.200585237155889E-2</v>
      </c>
      <c r="M21" s="3">
        <f>EXP(-E21*J21)*(D21*_xlfn.NORM.DIST(K21,0,1,TRUE)-G21*_xlfn.NORM.DIST(L21,0,1,TRUE))</f>
        <v>73.6761700387584</v>
      </c>
      <c r="N21" s="3">
        <f>EXP(-E21*J21)*(G21*_xlfn.NORM.DIST(-L21,0,1,TRUE)-D21*_xlfn.NORM.DIST(-K21,0,1,TRUE))</f>
        <v>60.190880247144548</v>
      </c>
      <c r="O21" s="3" t="b">
        <f>(M21-N21)=EXP(-E21*J21)*(D21-G21)</f>
        <v>0</v>
      </c>
    </row>
    <row r="22" spans="1:15" x14ac:dyDescent="0.3">
      <c r="A22" s="1">
        <v>45987</v>
      </c>
      <c r="B22" t="s">
        <v>15</v>
      </c>
      <c r="C22">
        <v>9691.58</v>
      </c>
      <c r="D22">
        <v>9705.0785300000007</v>
      </c>
      <c r="E22" s="2">
        <v>3.9798965012537504E-2</v>
      </c>
      <c r="F22" s="1">
        <v>45996</v>
      </c>
      <c r="G22">
        <v>10176.159</v>
      </c>
      <c r="H22">
        <v>0.104661</v>
      </c>
      <c r="J22" s="3">
        <f>(F22-A22)/365</f>
        <v>2.4657534246575342E-2</v>
      </c>
      <c r="K22" s="3">
        <f>(LN(D22/G22)+H22^2*J22/2)/(H22*SQRT(J22))</f>
        <v>-2.8758359435253418</v>
      </c>
      <c r="L22" s="3">
        <f>K22-H22*SQRT(J22)</f>
        <v>-2.8922705648740061</v>
      </c>
      <c r="M22" s="3">
        <f>EXP(-E22*J22)*(D22*_xlfn.NORM.DIST(K22,0,1,TRUE)-G22*_xlfn.NORM.DIST(L22,0,1,TRUE))</f>
        <v>9.3359241880560564E-2</v>
      </c>
      <c r="N22" s="3">
        <f>EXP(-E22*J22)*(G22*_xlfn.NORM.DIST(-L22,0,1,TRUE)-D22*_xlfn.NORM.DIST(-K22,0,1,TRUE))</f>
        <v>470.71176384736532</v>
      </c>
      <c r="O22" s="3" t="b">
        <f>(M22-N22)=EXP(-E22*J22)*(D22-G22)</f>
        <v>1</v>
      </c>
    </row>
    <row r="23" spans="1:15" x14ac:dyDescent="0.3">
      <c r="A23" s="1">
        <v>45987</v>
      </c>
      <c r="B23" t="s">
        <v>15</v>
      </c>
      <c r="C23">
        <v>9691.58</v>
      </c>
      <c r="D23">
        <v>9705.0785300000007</v>
      </c>
      <c r="E23" s="2">
        <v>3.9798965012537504E-2</v>
      </c>
      <c r="F23" s="1">
        <v>45996</v>
      </c>
      <c r="G23">
        <v>10660.738000000001</v>
      </c>
      <c r="H23">
        <v>0.14130599999999999</v>
      </c>
      <c r="J23" s="3">
        <f>(F23-A23)/365</f>
        <v>2.4657534246575342E-2</v>
      </c>
      <c r="K23" s="3">
        <f>(LN(D23/G23)+H23^2*J23/2)/(H23*SQRT(J23))</f>
        <v>-4.2215810850359246</v>
      </c>
      <c r="L23" s="3">
        <f>K23-H23*SQRT(J23)</f>
        <v>-4.2437699672775846</v>
      </c>
      <c r="M23" s="3">
        <f>EXP(-E23*J23)*(D23*_xlfn.NORM.DIST(K23,0,1,TRUE)-G23*_xlfn.NORM.DIST(L23,0,1,TRUE))</f>
        <v>5.6025974049798326E-4</v>
      </c>
      <c r="N23" s="3">
        <f>EXP(-E23*J23)*(G23*_xlfn.NORM.DIST(-L23,0,1,TRUE)-D23*_xlfn.NORM.DIST(-K23,0,1,TRUE))</f>
        <v>954.72265926232865</v>
      </c>
      <c r="O23" s="3" t="b">
        <f>(M23-N23)=EXP(-E23*J23)*(D23-G23)</f>
        <v>0</v>
      </c>
    </row>
    <row r="24" spans="1:15" x14ac:dyDescent="0.3">
      <c r="A24" s="1">
        <v>45987</v>
      </c>
      <c r="B24" t="s">
        <v>15</v>
      </c>
      <c r="C24">
        <v>9691.58</v>
      </c>
      <c r="D24">
        <v>9705.0785300000007</v>
      </c>
      <c r="E24" s="2">
        <v>3.9798965012537504E-2</v>
      </c>
      <c r="F24" s="1">
        <v>45996</v>
      </c>
      <c r="G24">
        <v>11629.896000000001</v>
      </c>
      <c r="H24">
        <v>0.21141799999999999</v>
      </c>
      <c r="J24" s="3">
        <f>(F24-A24)/365</f>
        <v>2.4657534246575342E-2</v>
      </c>
      <c r="K24" s="3">
        <f>(LN(D24/G24)+H24^2*J24/2)/(H24*SQRT(J24))</f>
        <v>-5.4333583500535285</v>
      </c>
      <c r="L24" s="3">
        <f>K24-H24*SQRT(J24)</f>
        <v>-5.4665567217133821</v>
      </c>
      <c r="M24" s="3">
        <f>EXP(-E24*J24)*(D24*_xlfn.NORM.DIST(K24,0,1,TRUE)-G24*_xlfn.NORM.DIST(L24,0,1,TRUE))</f>
        <v>1.5337274602748725E-6</v>
      </c>
      <c r="N24" s="3">
        <f>EXP(-E24*J24)*(G24*_xlfn.NORM.DIST(-L24,0,1,TRUE)-D24*_xlfn.NORM.DIST(-K24,0,1,TRUE))</f>
        <v>1922.9294893305114</v>
      </c>
      <c r="O24" s="3" t="b">
        <f>(M24-N24)=EXP(-E24*J24)*(D24-G24)</f>
        <v>1</v>
      </c>
    </row>
    <row r="25" spans="1:15" x14ac:dyDescent="0.3">
      <c r="A25" s="1">
        <v>45987</v>
      </c>
      <c r="B25" t="s">
        <v>15</v>
      </c>
      <c r="C25">
        <v>9691.58</v>
      </c>
      <c r="D25">
        <v>9705.0785300000007</v>
      </c>
      <c r="E25" s="2">
        <v>3.9798965012537504E-2</v>
      </c>
      <c r="F25" s="1">
        <v>45996</v>
      </c>
      <c r="G25">
        <v>12599.053999999998</v>
      </c>
      <c r="H25">
        <v>0.272316</v>
      </c>
      <c r="J25" s="3">
        <f>(F25-A25)/365</f>
        <v>2.4657534246575342E-2</v>
      </c>
      <c r="K25" s="3">
        <f>(LN(D25/G25)+H25^2*J25/2)/(H25*SQRT(J25))</f>
        <v>-6.0816654034223001</v>
      </c>
      <c r="L25" s="3">
        <f>K25-H25*SQRT(J25)</f>
        <v>-6.1244264160935229</v>
      </c>
      <c r="M25" s="3">
        <f>EXP(-E25*J25)*(D25*_xlfn.NORM.DIST(K25,0,1,TRUE)-G25*_xlfn.NORM.DIST(L25,0,1,TRUE))</f>
        <v>3.8346881269577372E-8</v>
      </c>
      <c r="N25" s="3">
        <f>EXP(-E25*J25)*(G25*_xlfn.NORM.DIST(-L25,0,1,TRUE)-D25*_xlfn.NORM.DIST(-K25,0,1,TRUE))</f>
        <v>2891.1368766293263</v>
      </c>
      <c r="O25" s="3" t="b">
        <f>(M25-N25)=EXP(-E25*J25)*(D25-G25)</f>
        <v>1</v>
      </c>
    </row>
    <row r="26" spans="1:15" x14ac:dyDescent="0.3">
      <c r="A26" s="1">
        <v>45987</v>
      </c>
      <c r="B26" t="s">
        <v>15</v>
      </c>
      <c r="C26">
        <v>9691.58</v>
      </c>
      <c r="D26">
        <v>9705.0785300000007</v>
      </c>
      <c r="E26" s="2">
        <v>3.9798965012537504E-2</v>
      </c>
      <c r="F26" s="1">
        <v>45996</v>
      </c>
      <c r="G26">
        <v>13568.212</v>
      </c>
      <c r="H26">
        <v>0.326235</v>
      </c>
      <c r="J26" s="3">
        <f>(F26-A26)/365</f>
        <v>2.4657534246575342E-2</v>
      </c>
      <c r="K26" s="3">
        <f>(LN(D26/G26)+H26^2*J26/2)/(H26*SQRT(J26))</f>
        <v>-6.5153785226181684</v>
      </c>
      <c r="L26" s="3">
        <f>K26-H26*SQRT(J26)</f>
        <v>-6.5666062836340338</v>
      </c>
      <c r="M26" s="3">
        <f>EXP(-E26*J26)*(D26*_xlfn.NORM.DIST(K26,0,1,TRUE)-G26*_xlfn.NORM.DIST(L26,0,1,TRUE))</f>
        <v>2.6272036434598321E-9</v>
      </c>
      <c r="N26" s="3">
        <f>EXP(-E26*J26)*(G26*_xlfn.NORM.DIST(-L26,0,1,TRUE)-D26*_xlfn.NORM.DIST(-K26,0,1,TRUE))</f>
        <v>3859.3442653878092</v>
      </c>
      <c r="O26" s="3" t="b">
        <f>(M26-N26)=EXP(-E26*J26)*(D26-G26)</f>
        <v>1</v>
      </c>
    </row>
    <row r="27" spans="1:15" x14ac:dyDescent="0.3">
      <c r="A27" s="1">
        <v>45987</v>
      </c>
      <c r="B27" t="s">
        <v>15</v>
      </c>
      <c r="C27">
        <v>9691.58</v>
      </c>
      <c r="D27">
        <v>9705.0785300000007</v>
      </c>
      <c r="E27" s="2">
        <v>3.9798965012537504E-2</v>
      </c>
      <c r="F27" s="1">
        <v>45996</v>
      </c>
      <c r="G27">
        <v>14537.37</v>
      </c>
      <c r="H27">
        <v>0.37479400000000002</v>
      </c>
      <c r="J27" s="3">
        <f>(F27-A27)/365</f>
        <v>2.4657534246575342E-2</v>
      </c>
      <c r="K27" s="3">
        <f>(LN(D27/G27)+H27^2*J27/2)/(H27*SQRT(J27))</f>
        <v>-6.8363975853809595</v>
      </c>
      <c r="L27" s="3">
        <f>K27-H27*SQRT(J27)</f>
        <v>-6.8952504290739425</v>
      </c>
      <c r="M27" s="3">
        <f>EXP(-E27*J27)*(D27*_xlfn.NORM.DIST(K27,0,1,TRUE)-G27*_xlfn.NORM.DIST(L27,0,1,TRUE))</f>
        <v>3.2313106978691373E-10</v>
      </c>
      <c r="N27" s="3">
        <f>EXP(-E27*J27)*(G27*_xlfn.NORM.DIST(-L27,0,1,TRUE)-D27*_xlfn.NORM.DIST(-K27,0,1,TRUE))</f>
        <v>4827.5516541797033</v>
      </c>
      <c r="O27" s="3" t="b">
        <f>(M27-N27)=EXP(-E27*J27)*(D27-G27)</f>
        <v>1</v>
      </c>
    </row>
    <row r="28" spans="1:15" x14ac:dyDescent="0.3">
      <c r="A28" s="1">
        <v>45987</v>
      </c>
      <c r="B28" t="s">
        <v>15</v>
      </c>
      <c r="C28">
        <v>9691.58</v>
      </c>
      <c r="D28">
        <v>9715.5773900000004</v>
      </c>
      <c r="E28" s="2">
        <v>3.9639907917986619E-2</v>
      </c>
      <c r="F28" s="1">
        <v>46003</v>
      </c>
      <c r="G28">
        <v>4845.79</v>
      </c>
      <c r="H28">
        <v>0.77459199999999995</v>
      </c>
      <c r="J28" s="3">
        <f>(F28-A28)/365</f>
        <v>4.3835616438356165E-2</v>
      </c>
      <c r="K28" s="3">
        <f>(LN(D28/G28)+H28^2*J28/2)/(H28*SQRT(J28))</f>
        <v>4.3703802238156078</v>
      </c>
      <c r="L28" s="3">
        <f>K28-H28*SQRT(J28)</f>
        <v>4.2082042305968086</v>
      </c>
      <c r="M28" s="3">
        <f>EXP(-E28*J28)*(D28*_xlfn.NORM.DIST(K28,0,1,TRUE)-G28*_xlfn.NORM.DIST(L28,0,1,TRUE))</f>
        <v>4861.3349135480967</v>
      </c>
      <c r="N28" s="3">
        <f>EXP(-E28*J28)*(G28*_xlfn.NORM.DIST(-L28,0,1,TRUE)-D28*_xlfn.NORM.DIST(-K28,0,1,TRUE))</f>
        <v>2.1122880834009614E-3</v>
      </c>
      <c r="O28" s="3" t="b">
        <f>(M28-N28)=EXP(-E28*J28)*(D28-G28)</f>
        <v>1</v>
      </c>
    </row>
    <row r="29" spans="1:15" x14ac:dyDescent="0.3">
      <c r="A29" s="1">
        <v>45987</v>
      </c>
      <c r="B29" t="s">
        <v>15</v>
      </c>
      <c r="C29">
        <v>9691.58</v>
      </c>
      <c r="D29">
        <v>9715.5773900000004</v>
      </c>
      <c r="E29" s="2">
        <v>3.9639907917986619E-2</v>
      </c>
      <c r="F29" s="1">
        <v>46003</v>
      </c>
      <c r="G29">
        <v>5814.9480000000003</v>
      </c>
      <c r="H29">
        <v>0.62478400000000001</v>
      </c>
      <c r="J29" s="3">
        <f>(F29-A29)/365</f>
        <v>4.3835616438356165E-2</v>
      </c>
      <c r="K29" s="3">
        <f>(LN(D29/G29)+H29^2*J29/2)/(H29*SQRT(J29))</f>
        <v>3.9893844366668763</v>
      </c>
      <c r="L29" s="3">
        <f>K29-H29*SQRT(J29)</f>
        <v>3.8585736798462347</v>
      </c>
      <c r="M29" s="3">
        <f>EXP(-E29*J29)*(D29*_xlfn.NORM.DIST(K29,0,1,TRUE)-G29*_xlfn.NORM.DIST(L29,0,1,TRUE))</f>
        <v>3893.8671647509896</v>
      </c>
      <c r="N29" s="3">
        <f>EXP(-E29*J29)*(G29*_xlfn.NORM.DIST(-L29,0,1,TRUE)-D29*_xlfn.NORM.DIST(-K29,0,1,TRUE))</f>
        <v>9.7782654082345429E-3</v>
      </c>
      <c r="O29" s="3" t="b">
        <f>(M29-N29)=EXP(-E29*J29)*(D29-G29)</f>
        <v>1</v>
      </c>
    </row>
    <row r="30" spans="1:15" x14ac:dyDescent="0.3">
      <c r="A30" s="1">
        <v>45987</v>
      </c>
      <c r="B30" t="s">
        <v>15</v>
      </c>
      <c r="C30">
        <v>9691.58</v>
      </c>
      <c r="D30">
        <v>9715.5773900000004</v>
      </c>
      <c r="E30" s="2">
        <v>3.9639907917986619E-2</v>
      </c>
      <c r="F30" s="1">
        <v>46003</v>
      </c>
      <c r="G30">
        <v>6784.1059999999998</v>
      </c>
      <c r="H30">
        <v>0.490199</v>
      </c>
      <c r="J30" s="3">
        <f>(F30-A30)/365</f>
        <v>4.3835616438356165E-2</v>
      </c>
      <c r="K30" s="3">
        <f>(LN(D30/G30)+H30^2*J30/2)/(H30*SQRT(J30))</f>
        <v>3.5506670102030382</v>
      </c>
      <c r="L30" s="3">
        <f>K30-H30*SQRT(J30)</f>
        <v>3.448034256831118</v>
      </c>
      <c r="M30" s="3">
        <f>EXP(-E30*J30)*(D30*_xlfn.NORM.DIST(K30,0,1,TRUE)-G30*_xlfn.NORM.DIST(L30,0,1,TRUE))</f>
        <v>2926.4306839945875</v>
      </c>
      <c r="N30" s="3">
        <f>EXP(-E30*J30)*(G30*_xlfn.NORM.DIST(-L30,0,1,TRUE)-D30*_xlfn.NORM.DIST(-K30,0,1,TRUE))</f>
        <v>4.8712283438171862E-2</v>
      </c>
      <c r="O30" s="3" t="b">
        <f>(M30-N30)=EXP(-E30*J30)*(D30-G30)</f>
        <v>1</v>
      </c>
    </row>
    <row r="31" spans="1:15" x14ac:dyDescent="0.3">
      <c r="A31" s="1">
        <v>45987</v>
      </c>
      <c r="B31" t="s">
        <v>15</v>
      </c>
      <c r="C31">
        <v>9691.58</v>
      </c>
      <c r="D31">
        <v>9715.5773900000004</v>
      </c>
      <c r="E31" s="2">
        <v>3.9639907917986619E-2</v>
      </c>
      <c r="F31" s="1">
        <v>46003</v>
      </c>
      <c r="G31">
        <v>7753.2640000000001</v>
      </c>
      <c r="H31">
        <v>0.36437000000000003</v>
      </c>
      <c r="J31" s="3">
        <f>(F31-A31)/365</f>
        <v>4.3835616438356165E-2</v>
      </c>
      <c r="K31" s="3">
        <f>(LN(D31/G31)+H31^2*J31/2)/(H31*SQRT(J31))</f>
        <v>2.9955767217968918</v>
      </c>
      <c r="L31" s="3">
        <f>K31-H31*SQRT(J31)</f>
        <v>2.9192887319272134</v>
      </c>
      <c r="M31" s="3">
        <f>EXP(-E31*J31)*(D31*_xlfn.NORM.DIST(K31,0,1,TRUE)-G31*_xlfn.NORM.DIST(L31,0,1,TRUE))</f>
        <v>1959.1997133547625</v>
      </c>
      <c r="N31" s="3">
        <f>EXP(-E31*J31)*(G31*_xlfn.NORM.DIST(-L31,0,1,TRUE)-D31*_xlfn.NORM.DIST(-K31,0,1,TRUE))</f>
        <v>0.2931564180475284</v>
      </c>
      <c r="O31" s="3" t="b">
        <f>(M31-N31)=EXP(-E31*J31)*(D31-G31)</f>
        <v>0</v>
      </c>
    </row>
    <row r="32" spans="1:15" x14ac:dyDescent="0.3">
      <c r="A32" s="1">
        <v>45987</v>
      </c>
      <c r="B32" t="s">
        <v>15</v>
      </c>
      <c r="C32">
        <v>9691.58</v>
      </c>
      <c r="D32">
        <v>9715.5773900000004</v>
      </c>
      <c r="E32" s="2">
        <v>3.9639907917986619E-2</v>
      </c>
      <c r="F32" s="1">
        <v>46003</v>
      </c>
      <c r="G32">
        <v>8722.4219999999987</v>
      </c>
      <c r="H32">
        <v>0.24076500000000001</v>
      </c>
      <c r="J32" s="3">
        <f>(F32-A32)/365</f>
        <v>4.3835616438356165E-2</v>
      </c>
      <c r="K32" s="3">
        <f>(LN(D32/G32)+H32^2*J32/2)/(H32*SQRT(J32))</f>
        <v>2.1643830026546129</v>
      </c>
      <c r="L32" s="3">
        <f>K32-H32*SQRT(J32)</f>
        <v>2.1139741383656396</v>
      </c>
      <c r="M32" s="3">
        <f>EXP(-E32*J32)*(D32*_xlfn.NORM.DIST(K32,0,1,TRUE)-G32*_xlfn.NORM.DIST(L32,0,1,TRUE))</f>
        <v>994.11782688975597</v>
      </c>
      <c r="N32" s="3">
        <f>EXP(-E32*J32)*(G32*_xlfn.NORM.DIST(-L32,0,1,TRUE)-D32*_xlfn.NORM.DIST(-K32,0,1,TRUE))</f>
        <v>2.6866847274718682</v>
      </c>
      <c r="O32" s="3" t="b">
        <f>(M32-N32)=EXP(-E32*J32)*(D32-G32)</f>
        <v>1</v>
      </c>
    </row>
    <row r="33" spans="1:15" x14ac:dyDescent="0.3">
      <c r="A33" s="1">
        <v>45987</v>
      </c>
      <c r="B33" t="s">
        <v>15</v>
      </c>
      <c r="C33">
        <v>9691.58</v>
      </c>
      <c r="D33">
        <v>9715.5773900000004</v>
      </c>
      <c r="E33" s="2">
        <v>3.9639907917986619E-2</v>
      </c>
      <c r="F33" s="1">
        <v>46003</v>
      </c>
      <c r="G33">
        <v>9207.0010000000002</v>
      </c>
      <c r="H33">
        <v>0.176875</v>
      </c>
      <c r="J33" s="3">
        <f>(F33-A33)/365</f>
        <v>4.3835616438356165E-2</v>
      </c>
      <c r="K33" s="3">
        <f>(LN(D33/G33)+H33^2*J33/2)/(H33*SQRT(J33))</f>
        <v>1.470395276208329</v>
      </c>
      <c r="L33" s="3">
        <f>K33-H33*SQRT(J33)</f>
        <v>1.4333630336850713</v>
      </c>
      <c r="M33" s="3">
        <f>EXP(-E33*J33)*(D33*_xlfn.NORM.DIST(K33,0,1,TRUE)-G33*_xlfn.NORM.DIST(L33,0,1,TRUE))</f>
        <v>519.11653274326045</v>
      </c>
      <c r="N33" s="3">
        <f>EXP(-E33*J33)*(G33*_xlfn.NORM.DIST(-L33,0,1,TRUE)-D33*_xlfn.NORM.DIST(-K33,0,1,TRUE))</f>
        <v>11.423097968193192</v>
      </c>
      <c r="O33" s="3" t="b">
        <f>(M33-N33)=EXP(-E33*J33)*(D33-G33)</f>
        <v>0</v>
      </c>
    </row>
    <row r="34" spans="1:15" x14ac:dyDescent="0.3">
      <c r="A34" s="1">
        <v>45987</v>
      </c>
      <c r="B34" t="s">
        <v>15</v>
      </c>
      <c r="C34">
        <v>9691.58</v>
      </c>
      <c r="D34">
        <v>9715.5773900000004</v>
      </c>
      <c r="E34" s="2">
        <v>3.9639907917986619E-2</v>
      </c>
      <c r="F34" s="1">
        <v>46003</v>
      </c>
      <c r="G34">
        <v>9691.58</v>
      </c>
      <c r="H34">
        <v>0.112334</v>
      </c>
      <c r="J34" s="3">
        <f>(F34-A34)/365</f>
        <v>4.3835616438356165E-2</v>
      </c>
      <c r="K34" s="3">
        <f>(LN(D34/G34)+H34^2*J34/2)/(H34*SQRT(J34))</f>
        <v>0.11690923421427579</v>
      </c>
      <c r="L34" s="3">
        <f>K34-H34*SQRT(J34)</f>
        <v>9.3389913046176165E-2</v>
      </c>
      <c r="M34" s="3">
        <f>EXP(-E34*J34)*(D34*_xlfn.NORM.DIST(K34,0,1,TRUE)-G34*_xlfn.NORM.DIST(L34,0,1,TRUE))</f>
        <v>103.36689558120489</v>
      </c>
      <c r="N34" s="3">
        <f>EXP(-E34*J34)*(G34*_xlfn.NORM.DIST(-L34,0,1,TRUE)-D34*_xlfn.NORM.DIST(-K34,0,1,TRUE))</f>
        <v>79.411168193354541</v>
      </c>
      <c r="O34" s="3" t="b">
        <f>(M34-N34)=EXP(-E34*J34)*(D34-G34)</f>
        <v>1</v>
      </c>
    </row>
    <row r="35" spans="1:15" x14ac:dyDescent="0.3">
      <c r="A35" s="1">
        <v>45987</v>
      </c>
      <c r="B35" t="s">
        <v>15</v>
      </c>
      <c r="C35">
        <v>9691.58</v>
      </c>
      <c r="D35">
        <v>9715.5773900000004</v>
      </c>
      <c r="E35" s="2">
        <v>3.9639907917986619E-2</v>
      </c>
      <c r="F35" s="1">
        <v>46003</v>
      </c>
      <c r="G35">
        <v>10176.159</v>
      </c>
      <c r="H35">
        <v>0.105072</v>
      </c>
      <c r="J35" s="3">
        <f>(F35-A35)/365</f>
        <v>4.3835616438356165E-2</v>
      </c>
      <c r="K35" s="3">
        <f>(LN(D35/G35)+H35^2*J35/2)/(H35*SQRT(J35))</f>
        <v>-2.0944313335571509</v>
      </c>
      <c r="L35" s="3">
        <f>K35-H35*SQRT(J35)</f>
        <v>-2.1164302129149104</v>
      </c>
      <c r="M35" s="3">
        <f>EXP(-E35*J35)*(D35*_xlfn.NORM.DIST(K35,0,1,TRUE)-G35*_xlfn.NORM.DIST(L35,0,1,TRUE))</f>
        <v>1.3913070501775384</v>
      </c>
      <c r="N35" s="3">
        <f>EXP(-E35*J35)*(G35*_xlfn.NORM.DIST(-L35,0,1,TRUE)-D35*_xlfn.NORM.DIST(-K35,0,1,TRUE))</f>
        <v>461.17328704954446</v>
      </c>
      <c r="O35" s="3" t="b">
        <f>(M35-N35)=EXP(-E35*J35)*(D35-G35)</f>
        <v>0</v>
      </c>
    </row>
    <row r="36" spans="1:15" x14ac:dyDescent="0.3">
      <c r="A36" s="1">
        <v>45987</v>
      </c>
      <c r="B36" t="s">
        <v>15</v>
      </c>
      <c r="C36">
        <v>9691.58</v>
      </c>
      <c r="D36">
        <v>9715.5773900000004</v>
      </c>
      <c r="E36" s="2">
        <v>3.9639907917986619E-2</v>
      </c>
      <c r="F36" s="1">
        <v>46003</v>
      </c>
      <c r="G36">
        <v>10660.738000000001</v>
      </c>
      <c r="H36">
        <v>0.14194999999999999</v>
      </c>
      <c r="J36" s="3">
        <f>(F36-A36)/365</f>
        <v>4.3835616438356165E-2</v>
      </c>
      <c r="K36" s="3">
        <f>(LN(D36/G36)+H36^2*J36/2)/(H36*SQRT(J36))</f>
        <v>-3.1088647916072425</v>
      </c>
      <c r="L36" s="3">
        <f>K36-H36*SQRT(J36)</f>
        <v>-3.1385848019319149</v>
      </c>
      <c r="M36" s="3">
        <f>EXP(-E36*J36)*(D36*_xlfn.NORM.DIST(K36,0,1,TRUE)-G36*_xlfn.NORM.DIST(L36,0,1,TRUE))</f>
        <v>7.4025846833933345E-2</v>
      </c>
      <c r="N36" s="3">
        <f>EXP(-E36*J36)*(G36*_xlfn.NORM.DIST(-L36,0,1,TRUE)-D36*_xlfn.NORM.DIST(-K36,0,1,TRUE))</f>
        <v>943.59371323341873</v>
      </c>
      <c r="O36" s="3" t="b">
        <f>(M36-N36)=EXP(-E36*J36)*(D36-G36)</f>
        <v>0</v>
      </c>
    </row>
    <row r="37" spans="1:15" x14ac:dyDescent="0.3">
      <c r="A37" s="1">
        <v>45987</v>
      </c>
      <c r="B37" t="s">
        <v>15</v>
      </c>
      <c r="C37">
        <v>9691.58</v>
      </c>
      <c r="D37">
        <v>9715.5773900000004</v>
      </c>
      <c r="E37" s="2">
        <v>3.9639907917986619E-2</v>
      </c>
      <c r="F37" s="1">
        <v>46003</v>
      </c>
      <c r="G37">
        <v>11629.896000000001</v>
      </c>
      <c r="H37">
        <v>0.21287500000000001</v>
      </c>
      <c r="J37" s="3">
        <f>(F37-A37)/365</f>
        <v>4.3835616438356165E-2</v>
      </c>
      <c r="K37" s="3">
        <f>(LN(D37/G37)+H37^2*J37/2)/(H37*SQRT(J37))</f>
        <v>-4.0129483009204705</v>
      </c>
      <c r="L37" s="3">
        <f>K37-H37*SQRT(J37)</f>
        <v>-4.0575178479290273</v>
      </c>
      <c r="M37" s="3">
        <f>EXP(-E37*J37)*(D37*_xlfn.NORM.DIST(K37,0,1,TRUE)-G37*_xlfn.NORM.DIST(L37,0,1,TRUE))</f>
        <v>2.8883806619822319E-3</v>
      </c>
      <c r="N37" s="3">
        <f>EXP(-E37*J37)*(G37*_xlfn.NORM.DIST(-L37,0,1,TRUE)-D37*_xlfn.NORM.DIST(-K37,0,1,TRUE))</f>
        <v>1910.9979905416767</v>
      </c>
      <c r="O37" s="3" t="b">
        <f>(M37-N37)=EXP(-E37*J37)*(D37-G37)</f>
        <v>0</v>
      </c>
    </row>
    <row r="38" spans="1:15" x14ac:dyDescent="0.3">
      <c r="A38" s="1">
        <v>45987</v>
      </c>
      <c r="B38" t="s">
        <v>15</v>
      </c>
      <c r="C38">
        <v>9691.58</v>
      </c>
      <c r="D38">
        <v>9715.5773900000004</v>
      </c>
      <c r="E38" s="2">
        <v>3.9639907917986619E-2</v>
      </c>
      <c r="F38" s="1">
        <v>46003</v>
      </c>
      <c r="G38">
        <v>12599.053999999998</v>
      </c>
      <c r="H38">
        <v>0.27448099999999998</v>
      </c>
      <c r="J38" s="3">
        <f>(F38-A38)/365</f>
        <v>4.3835616438356165E-2</v>
      </c>
      <c r="K38" s="3">
        <f>(LN(D38/G38)+H38^2*J38/2)/(H38*SQRT(J38))</f>
        <v>-4.4936325417529979</v>
      </c>
      <c r="L38" s="3">
        <f>K38-H38*SQRT(J38)</f>
        <v>-4.551100510431592</v>
      </c>
      <c r="M38" s="3">
        <f>EXP(-E38*J38)*(D38*_xlfn.NORM.DIST(K38,0,1,TRUE)-G38*_xlfn.NORM.DIST(L38,0,1,TRUE))</f>
        <v>3.9469194692663337E-4</v>
      </c>
      <c r="N38" s="3">
        <f>EXP(-E38*J38)*(G38*_xlfn.NORM.DIST(-L38,0,1,TRUE)-D38*_xlfn.NORM.DIST(-K38,0,1,TRUE))</f>
        <v>2878.4709116273916</v>
      </c>
      <c r="O38" s="3" t="b">
        <f>(M38-N38)=EXP(-E38*J38)*(D38-G38)</f>
        <v>0</v>
      </c>
    </row>
    <row r="39" spans="1:15" x14ac:dyDescent="0.3">
      <c r="A39" s="1">
        <v>45987</v>
      </c>
      <c r="B39" t="s">
        <v>15</v>
      </c>
      <c r="C39">
        <v>9691.58</v>
      </c>
      <c r="D39">
        <v>9715.5773900000004</v>
      </c>
      <c r="E39" s="2">
        <v>3.9639907917986619E-2</v>
      </c>
      <c r="F39" s="1">
        <v>46003</v>
      </c>
      <c r="G39">
        <v>13568.212</v>
      </c>
      <c r="H39">
        <v>0.32901999999999998</v>
      </c>
      <c r="J39" s="3">
        <f>(F39-A39)/365</f>
        <v>4.3835616438356165E-2</v>
      </c>
      <c r="K39" s="3">
        <f>(LN(D39/G39)+H39^2*J39/2)/(H39*SQRT(J39))</f>
        <v>-4.8140806880974978</v>
      </c>
      <c r="L39" s="3">
        <f>K39-H39*SQRT(J39)</f>
        <v>-4.8829674637017506</v>
      </c>
      <c r="M39" s="3">
        <f>EXP(-E39*J39)*(D39*_xlfn.NORM.DIST(K39,0,1,TRUE)-G39*_xlfn.NORM.DIST(L39,0,1,TRUE))</f>
        <v>9.4021682045355333E-5</v>
      </c>
      <c r="N39" s="3">
        <f>EXP(-E39*J39)*(G39*_xlfn.NORM.DIST(-L39,0,1,TRUE)-D39*_xlfn.NORM.DIST(-K39,0,1,TRUE))</f>
        <v>3845.9460257315613</v>
      </c>
      <c r="O39" s="3" t="b">
        <f>(M39-N39)=EXP(-E39*J39)*(D39-G39)</f>
        <v>1</v>
      </c>
    </row>
    <row r="40" spans="1:15" x14ac:dyDescent="0.3">
      <c r="A40" s="1">
        <v>45987</v>
      </c>
      <c r="B40" t="s">
        <v>15</v>
      </c>
      <c r="C40">
        <v>9691.58</v>
      </c>
      <c r="D40">
        <v>9715.5773900000004</v>
      </c>
      <c r="E40" s="2">
        <v>3.9639907917986619E-2</v>
      </c>
      <c r="F40" s="1">
        <v>46003</v>
      </c>
      <c r="G40">
        <v>14537.37</v>
      </c>
      <c r="H40">
        <v>0.37813200000000002</v>
      </c>
      <c r="J40" s="3">
        <f>(F40-A40)/365</f>
        <v>4.3835616438356165E-2</v>
      </c>
      <c r="K40" s="3">
        <f>(LN(D40/G40)+H40^2*J40/2)/(H40*SQRT(J40))</f>
        <v>-5.0506698769784002</v>
      </c>
      <c r="L40" s="3">
        <f>K40-H40*SQRT(J40)</f>
        <v>-5.1298392108571536</v>
      </c>
      <c r="M40" s="3">
        <f>EXP(-E40*J40)*(D40*_xlfn.NORM.DIST(K40,0,1,TRUE)-G40*_xlfn.NORM.DIST(L40,0,1,TRUE))</f>
        <v>3.0808580739751326E-5</v>
      </c>
      <c r="N40" s="3">
        <f>EXP(-E40*J40)*(G40*_xlfn.NORM.DIST(-L40,0,1,TRUE)-D40*_xlfn.NORM.DIST(-K40,0,1,TRUE))</f>
        <v>4813.4213772928952</v>
      </c>
      <c r="O40" s="3" t="b">
        <f>(M40-N40)=EXP(-E40*J40)*(D40-G40)</f>
        <v>1</v>
      </c>
    </row>
    <row r="41" spans="1:15" x14ac:dyDescent="0.3">
      <c r="A41" s="1">
        <v>45987</v>
      </c>
      <c r="B41" t="s">
        <v>15</v>
      </c>
      <c r="C41">
        <v>9691.58</v>
      </c>
      <c r="D41">
        <v>9726.0762500000001</v>
      </c>
      <c r="E41" s="2">
        <v>3.933590570726913E-2</v>
      </c>
      <c r="F41" s="1">
        <v>46010</v>
      </c>
      <c r="G41">
        <v>4845.79</v>
      </c>
      <c r="H41">
        <v>0.78383999999999998</v>
      </c>
      <c r="J41" s="3">
        <f>(F41-A41)/365</f>
        <v>6.3013698630136991E-2</v>
      </c>
      <c r="K41" s="3">
        <f>(LN(D41/G41)+H41^2*J41/2)/(H41*SQRT(J41))</f>
        <v>3.6391791533111268</v>
      </c>
      <c r="L41" s="3">
        <f>K41-H41*SQRT(J41)</f>
        <v>3.442415486233986</v>
      </c>
      <c r="M41" s="3">
        <f>EXP(-E41*J41)*(D41*_xlfn.NORM.DIST(K41,0,1,TRUE)-G41*_xlfn.NORM.DIST(L41,0,1,TRUE))</f>
        <v>4868.2711177560996</v>
      </c>
      <c r="N41" s="3">
        <f>EXP(-E41*J41)*(G41*_xlfn.NORM.DIST(-L41,0,1,TRUE)-D41*_xlfn.NORM.DIST(-K41,0,1,TRUE))</f>
        <v>6.6657955230457797E-2</v>
      </c>
      <c r="O41" s="3" t="b">
        <f>(M41-N41)=EXP(-E41*J41)*(D41-G41)</f>
        <v>1</v>
      </c>
    </row>
    <row r="42" spans="1:15" x14ac:dyDescent="0.3">
      <c r="A42" s="1">
        <v>45987</v>
      </c>
      <c r="B42" t="s">
        <v>15</v>
      </c>
      <c r="C42">
        <v>9691.58</v>
      </c>
      <c r="D42">
        <v>9726.0762500000001</v>
      </c>
      <c r="E42" s="2">
        <v>3.933590570726913E-2</v>
      </c>
      <c r="F42" s="1">
        <v>46010</v>
      </c>
      <c r="G42">
        <v>5814.9480000000003</v>
      </c>
      <c r="H42">
        <v>0.632463</v>
      </c>
      <c r="J42" s="3">
        <f>(F42-A42)/365</f>
        <v>6.3013698630136991E-2</v>
      </c>
      <c r="K42" s="3">
        <f>(LN(D42/G42)+H42^2*J42/2)/(H42*SQRT(J42))</f>
        <v>3.3192729152699214</v>
      </c>
      <c r="L42" s="3">
        <f>K42-H42*SQRT(J42)</f>
        <v>3.1605087042439344</v>
      </c>
      <c r="M42" s="3">
        <f>EXP(-E42*J42)*(D42*_xlfn.NORM.DIST(K42,0,1,TRUE)-G42*_xlfn.NORM.DIST(L42,0,1,TRUE))</f>
        <v>3901.6353636538447</v>
      </c>
      <c r="N42" s="3">
        <f>EXP(-E42*J42)*(G42*_xlfn.NORM.DIST(-L42,0,1,TRUE)-D42*_xlfn.NORM.DIST(-K42,0,1,TRUE))</f>
        <v>0.18962581353494001</v>
      </c>
      <c r="O42" s="3" t="b">
        <f>(M42-N42)=EXP(-E42*J42)*(D42-G42)</f>
        <v>1</v>
      </c>
    </row>
    <row r="43" spans="1:15" x14ac:dyDescent="0.3">
      <c r="A43" s="1">
        <v>45987</v>
      </c>
      <c r="B43" t="s">
        <v>15</v>
      </c>
      <c r="C43">
        <v>9691.58</v>
      </c>
      <c r="D43">
        <v>9726.0762500000001</v>
      </c>
      <c r="E43" s="2">
        <v>3.933590570726913E-2</v>
      </c>
      <c r="F43" s="1">
        <v>46010</v>
      </c>
      <c r="G43">
        <v>6784.1059999999998</v>
      </c>
      <c r="H43">
        <v>0.49648599999999998</v>
      </c>
      <c r="J43" s="3">
        <f>(F43-A43)/365</f>
        <v>6.3013698630136991E-2</v>
      </c>
      <c r="K43" s="3">
        <f>(LN(D43/G43)+H43^2*J43/2)/(H43*SQRT(J43))</f>
        <v>2.952682395313976</v>
      </c>
      <c r="L43" s="3">
        <f>K43-H43*SQRT(J43)</f>
        <v>2.8280518507992012</v>
      </c>
      <c r="M43" s="3">
        <f>EXP(-E43*J43)*(D43*_xlfn.NORM.DIST(K43,0,1,TRUE)-G43*_xlfn.NORM.DIST(L43,0,1,TRUE))</f>
        <v>2935.2515226822243</v>
      </c>
      <c r="N43" s="3">
        <f>EXP(-E43*J43)*(G43*_xlfn.NORM.DIST(-L43,0,1,TRUE)-D43*_xlfn.NORM.DIST(-K43,0,1,TRUE))</f>
        <v>0.56450680247298501</v>
      </c>
      <c r="O43" s="3" t="b">
        <f>(M43-N43)=EXP(-E43*J43)*(D43-G43)</f>
        <v>1</v>
      </c>
    </row>
    <row r="44" spans="1:15" x14ac:dyDescent="0.3">
      <c r="A44" s="1">
        <v>45987</v>
      </c>
      <c r="B44" t="s">
        <v>15</v>
      </c>
      <c r="C44">
        <v>9691.58</v>
      </c>
      <c r="D44">
        <v>9726.0762500000001</v>
      </c>
      <c r="E44" s="2">
        <v>3.933590570726913E-2</v>
      </c>
      <c r="F44" s="1">
        <v>46010</v>
      </c>
      <c r="G44">
        <v>7753.2640000000001</v>
      </c>
      <c r="H44">
        <v>0.36938799999999999</v>
      </c>
      <c r="J44" s="3">
        <f>(F44-A44)/365</f>
        <v>6.3013698630136991E-2</v>
      </c>
      <c r="K44" s="3">
        <f>(LN(D44/G44)+H44^2*J44/2)/(H44*SQRT(J44))</f>
        <v>2.4911711392670606</v>
      </c>
      <c r="L44" s="3">
        <f>K44-H44*SQRT(J44)</f>
        <v>2.3984454076709558</v>
      </c>
      <c r="M44" s="3">
        <f>EXP(-E44*J44)*(D44*_xlfn.NORM.DIST(K44,0,1,TRUE)-G44*_xlfn.NORM.DIST(L44,0,1,TRUE))</f>
        <v>1969.83410264497</v>
      </c>
      <c r="N44" s="3">
        <f>EXP(-E44*J44)*(G44*_xlfn.NORM.DIST(-L44,0,1,TRUE)-D44*_xlfn.NORM.DIST(-K44,0,1,TRUE))</f>
        <v>1.9058087257791485</v>
      </c>
      <c r="O44" s="3" t="b">
        <f>(M44-N44)=EXP(-E44*J44)*(D44-G44)</f>
        <v>1</v>
      </c>
    </row>
    <row r="45" spans="1:15" x14ac:dyDescent="0.3">
      <c r="A45" s="1">
        <v>45987</v>
      </c>
      <c r="B45" t="s">
        <v>15</v>
      </c>
      <c r="C45">
        <v>9691.58</v>
      </c>
      <c r="D45">
        <v>9726.0762500000001</v>
      </c>
      <c r="E45" s="2">
        <v>3.933590570726913E-2</v>
      </c>
      <c r="F45" s="1">
        <v>46010</v>
      </c>
      <c r="G45">
        <v>8722.4219999999987</v>
      </c>
      <c r="H45">
        <v>0.24459900000000001</v>
      </c>
      <c r="J45" s="3">
        <f>(F45-A45)/365</f>
        <v>6.3013698630136991E-2</v>
      </c>
      <c r="K45" s="3">
        <f>(LN(D45/G45)+H45^2*J45/2)/(H45*SQRT(J45))</f>
        <v>1.8045219162073185</v>
      </c>
      <c r="L45" s="3">
        <f>K45-H45*SQRT(J45)</f>
        <v>1.7431213801241874</v>
      </c>
      <c r="M45" s="3">
        <f>EXP(-E45*J45)*(D45*_xlfn.NORM.DIST(K45,0,1,TRUE)-G45*_xlfn.NORM.DIST(L45,0,1,TRUE))</f>
        <v>1009.7659746902109</v>
      </c>
      <c r="N45" s="3">
        <f>EXP(-E45*J45)*(G45*_xlfn.NORM.DIST(-L45,0,1,TRUE)-D45*_xlfn.NORM.DIST(-K45,0,1,TRUE))</f>
        <v>8.5964027315766298</v>
      </c>
      <c r="O45" s="3" t="b">
        <f>(M45-N45)=EXP(-E45*J45)*(D45-G45)</f>
        <v>1</v>
      </c>
    </row>
    <row r="46" spans="1:15" x14ac:dyDescent="0.3">
      <c r="A46" s="1">
        <v>45987</v>
      </c>
      <c r="B46" t="s">
        <v>15</v>
      </c>
      <c r="C46">
        <v>9691.58</v>
      </c>
      <c r="D46">
        <v>9726.0762500000001</v>
      </c>
      <c r="E46" s="2">
        <v>3.933590570726913E-2</v>
      </c>
      <c r="F46" s="1">
        <v>46010</v>
      </c>
      <c r="G46">
        <v>9207.0010000000002</v>
      </c>
      <c r="H46">
        <v>0.180141</v>
      </c>
      <c r="J46" s="3">
        <f>(F46-A46)/365</f>
        <v>6.3013698630136991E-2</v>
      </c>
      <c r="K46" s="3">
        <f>(LN(D46/G46)+H46^2*J46/2)/(H46*SQRT(J46))</f>
        <v>1.235490167546146</v>
      </c>
      <c r="L46" s="3">
        <f>K46-H46*SQRT(J46)</f>
        <v>1.1902702199153246</v>
      </c>
      <c r="M46" s="3">
        <f>EXP(-E46*J46)*(D46*_xlfn.NORM.DIST(K46,0,1,TRUE)-G46*_xlfn.NORM.DIST(L46,0,1,TRUE))</f>
        <v>541.10804320146417</v>
      </c>
      <c r="N46" s="3">
        <f>EXP(-E46*J46)*(G46*_xlfn.NORM.DIST(-L46,0,1,TRUE)-D46*_xlfn.NORM.DIST(-K46,0,1,TRUE))</f>
        <v>23.317832223111161</v>
      </c>
      <c r="O46" s="3" t="b">
        <f>(M46-N46)=EXP(-E46*J46)*(D46-G46)</f>
        <v>0</v>
      </c>
    </row>
    <row r="47" spans="1:15" x14ac:dyDescent="0.3">
      <c r="A47" s="1">
        <v>45987</v>
      </c>
      <c r="B47" t="s">
        <v>15</v>
      </c>
      <c r="C47">
        <v>9691.58</v>
      </c>
      <c r="D47">
        <v>9726.0762500000001</v>
      </c>
      <c r="E47" s="2">
        <v>3.933590570726913E-2</v>
      </c>
      <c r="F47" s="1">
        <v>46010</v>
      </c>
      <c r="G47">
        <v>9691.58</v>
      </c>
      <c r="H47">
        <v>0.11479399999999999</v>
      </c>
      <c r="J47" s="3">
        <f>(F47-A47)/365</f>
        <v>6.3013698630136991E-2</v>
      </c>
      <c r="K47" s="3">
        <f>(LN(D47/G47)+H47^2*J47/2)/(H47*SQRT(J47))</f>
        <v>0.13770973959168872</v>
      </c>
      <c r="L47" s="3">
        <f>K47-H47*SQRT(J47)</f>
        <v>0.10889354190025516</v>
      </c>
      <c r="M47" s="3">
        <f>EXP(-E47*J47)*(D47*_xlfn.NORM.DIST(K47,0,1,TRUE)-G47*_xlfn.NORM.DIST(L47,0,1,TRUE))</f>
        <v>129.38312592083781</v>
      </c>
      <c r="N47" s="3">
        <f>EXP(-E47*J47)*(G47*_xlfn.NORM.DIST(-L47,0,1,TRUE)-D47*_xlfn.NORM.DIST(-K47,0,1,TRUE))</f>
        <v>94.972275922766102</v>
      </c>
      <c r="O47" s="3" t="b">
        <f>(M47-N47)=EXP(-E47*J47)*(D47-G47)</f>
        <v>0</v>
      </c>
    </row>
    <row r="48" spans="1:15" x14ac:dyDescent="0.3">
      <c r="A48" s="1">
        <v>45987</v>
      </c>
      <c r="B48" t="s">
        <v>15</v>
      </c>
      <c r="C48">
        <v>9691.58</v>
      </c>
      <c r="D48">
        <v>9726.0762500000001</v>
      </c>
      <c r="E48" s="2">
        <v>3.933590570726913E-2</v>
      </c>
      <c r="F48" s="1">
        <v>46010</v>
      </c>
      <c r="G48">
        <v>10176.159</v>
      </c>
      <c r="H48">
        <v>0.10548399999999999</v>
      </c>
      <c r="J48" s="3">
        <f>(F48-A48)/365</f>
        <v>6.3013698630136991E-2</v>
      </c>
      <c r="K48" s="3">
        <f>(LN(D48/G48)+H48^2*J48/2)/(H48*SQRT(J48))</f>
        <v>-1.6951640532077212</v>
      </c>
      <c r="L48" s="3">
        <f>K48-H48*SQRT(J48)</f>
        <v>-1.7216432054045536</v>
      </c>
      <c r="M48" s="3">
        <f>EXP(-E48*J48)*(D48*_xlfn.NORM.DIST(K48,0,1,TRUE)-G48*_xlfn.NORM.DIST(L48,0,1,TRUE))</f>
        <v>4.7077669806038287</v>
      </c>
      <c r="N48" s="3">
        <f>EXP(-E48*J48)*(G48*_xlfn.NORM.DIST(-L48,0,1,TRUE)-D48*_xlfn.NORM.DIST(-K48,0,1,TRUE))</f>
        <v>453.67627796280999</v>
      </c>
      <c r="O48" s="3" t="b">
        <f>(M48-N48)=EXP(-E48*J48)*(D48-G48)</f>
        <v>0</v>
      </c>
    </row>
    <row r="49" spans="1:15" x14ac:dyDescent="0.3">
      <c r="A49" s="1">
        <v>45987</v>
      </c>
      <c r="B49" t="s">
        <v>15</v>
      </c>
      <c r="C49">
        <v>9691.58</v>
      </c>
      <c r="D49">
        <v>9726.0762500000001</v>
      </c>
      <c r="E49" s="2">
        <v>3.933590570726913E-2</v>
      </c>
      <c r="F49" s="1">
        <v>46010</v>
      </c>
      <c r="G49">
        <v>10660.738000000001</v>
      </c>
      <c r="H49">
        <v>0.14257600000000001</v>
      </c>
      <c r="J49" s="3">
        <f>(F49-A49)/365</f>
        <v>6.3013698630136991E-2</v>
      </c>
      <c r="K49" s="3">
        <f>(LN(D49/G49)+H49^2*J49/2)/(H49*SQRT(J49))</f>
        <v>-2.5458553318018766</v>
      </c>
      <c r="L49" s="3">
        <f>K49-H49*SQRT(J49)</f>
        <v>-2.5816455142334829</v>
      </c>
      <c r="M49" s="3">
        <f>EXP(-E49*J49)*(D49*_xlfn.NORM.DIST(K49,0,1,TRUE)-G49*_xlfn.NORM.DIST(L49,0,1,TRUE))</f>
        <v>0.59687015653561704</v>
      </c>
      <c r="N49" s="3">
        <f>EXP(-E49*J49)*(G49*_xlfn.NORM.DIST(-L49,0,1,TRUE)-D49*_xlfn.NORM.DIST(-K49,0,1,TRUE))</f>
        <v>932.94474211902445</v>
      </c>
      <c r="O49" s="3" t="b">
        <f>(M49-N49)=EXP(-E49*J49)*(D49-G49)</f>
        <v>0</v>
      </c>
    </row>
    <row r="50" spans="1:15" x14ac:dyDescent="0.3">
      <c r="A50" s="1">
        <v>45987</v>
      </c>
      <c r="B50" t="s">
        <v>15</v>
      </c>
      <c r="C50">
        <v>9691.58</v>
      </c>
      <c r="D50">
        <v>9726.0762500000001</v>
      </c>
      <c r="E50" s="2">
        <v>3.933590570726913E-2</v>
      </c>
      <c r="F50" s="1">
        <v>46010</v>
      </c>
      <c r="G50">
        <v>11629.896000000001</v>
      </c>
      <c r="H50">
        <v>0.214313</v>
      </c>
      <c r="J50" s="3">
        <f>(F50-A50)/365</f>
        <v>6.3013698630136991E-2</v>
      </c>
      <c r="K50" s="3">
        <f>(LN(D50/G50)+H50^2*J50/2)/(H50*SQRT(J50))</f>
        <v>-3.2960595843389084</v>
      </c>
      <c r="L50" s="3">
        <f>K50-H50*SQRT(J50)</f>
        <v>-3.3498575683436838</v>
      </c>
      <c r="M50" s="3">
        <f>EXP(-E50*J50)*(D50*_xlfn.NORM.DIST(K50,0,1,TRUE)-G50*_xlfn.NORM.DIST(L50,0,1,TRUE))</f>
        <v>6.6535813125432539E-2</v>
      </c>
      <c r="N50" s="3">
        <f>EXP(-E50*J50)*(G50*_xlfn.NORM.DIST(-L50,0,1,TRUE)-D50*_xlfn.NORM.DIST(-K50,0,1,TRUE))</f>
        <v>1899.1731297361716</v>
      </c>
      <c r="O50" s="3" t="b">
        <f>(M50-N50)=EXP(-E50*J50)*(D50-G50)</f>
        <v>1</v>
      </c>
    </row>
    <row r="51" spans="1:15" x14ac:dyDescent="0.3">
      <c r="A51" s="1">
        <v>45987</v>
      </c>
      <c r="B51" t="s">
        <v>15</v>
      </c>
      <c r="C51">
        <v>9691.58</v>
      </c>
      <c r="D51">
        <v>9726.0762500000001</v>
      </c>
      <c r="E51" s="2">
        <v>3.933590570726913E-2</v>
      </c>
      <c r="F51" s="1">
        <v>46010</v>
      </c>
      <c r="G51">
        <v>12599.053999999998</v>
      </c>
      <c r="H51">
        <v>0.27662900000000001</v>
      </c>
      <c r="J51" s="3">
        <f>(F51-A51)/365</f>
        <v>6.3013698630136991E-2</v>
      </c>
      <c r="K51" s="3">
        <f>(LN(D51/G51)+H51^2*J51/2)/(H51*SQRT(J51))</f>
        <v>-3.6923520571000004</v>
      </c>
      <c r="L51" s="3">
        <f>K51-H51*SQRT(J51)</f>
        <v>-3.761792933375621</v>
      </c>
      <c r="M51" s="3">
        <f>EXP(-E51*J51)*(D51*_xlfn.NORM.DIST(K51,0,1,TRUE)-G51*_xlfn.NORM.DIST(L51,0,1,TRUE))</f>
        <v>1.7744195053273647E-2</v>
      </c>
      <c r="N51" s="3">
        <f>EXP(-E51*J51)*(G51*_xlfn.NORM.DIST(-L51,0,1,TRUE)-D51*_xlfn.NORM.DIST(-K51,0,1,TRUE))</f>
        <v>2865.8830600786564</v>
      </c>
      <c r="O51" s="3" t="b">
        <f>(M51-N51)=EXP(-E51*J51)*(D51-G51)</f>
        <v>1</v>
      </c>
    </row>
    <row r="52" spans="1:15" x14ac:dyDescent="0.3">
      <c r="A52" s="1">
        <v>45987</v>
      </c>
      <c r="B52" t="s">
        <v>15</v>
      </c>
      <c r="C52">
        <v>9691.58</v>
      </c>
      <c r="D52">
        <v>9726.0762500000001</v>
      </c>
      <c r="E52" s="2">
        <v>3.933590570726913E-2</v>
      </c>
      <c r="F52" s="1">
        <v>46010</v>
      </c>
      <c r="G52">
        <v>13568.212</v>
      </c>
      <c r="H52">
        <v>0.331789</v>
      </c>
      <c r="J52" s="3">
        <f>(F52-A52)/365</f>
        <v>6.3013698630136991E-2</v>
      </c>
      <c r="K52" s="3">
        <f>(LN(D52/G52)+H52^2*J52/2)/(H52*SQRT(J52))</f>
        <v>-3.9555878715501773</v>
      </c>
      <c r="L52" s="3">
        <f>K52-H52*SQRT(J52)</f>
        <v>-4.0388753030870435</v>
      </c>
      <c r="M52" s="3">
        <f>EXP(-E52*J52)*(D52*_xlfn.NORM.DIST(K52,0,1,TRUE)-G52*_xlfn.NORM.DIST(L52,0,1,TRUE))</f>
        <v>6.8982051564465113E-3</v>
      </c>
      <c r="N52" s="3">
        <f>EXP(-E52*J52)*(G52*_xlfn.NORM.DIST(-L52,0,1,TRUE)-D52*_xlfn.NORM.DIST(-K52,0,1,TRUE))</f>
        <v>3832.6309360493206</v>
      </c>
      <c r="O52" s="3" t="b">
        <f>(M52-N52)=EXP(-E52*J52)*(D52-G52)</f>
        <v>1</v>
      </c>
    </row>
    <row r="53" spans="1:15" x14ac:dyDescent="0.3">
      <c r="A53" s="1">
        <v>45987</v>
      </c>
      <c r="B53" t="s">
        <v>15</v>
      </c>
      <c r="C53">
        <v>9691.58</v>
      </c>
      <c r="D53">
        <v>9726.0762500000001</v>
      </c>
      <c r="E53" s="2">
        <v>3.933590570726913E-2</v>
      </c>
      <c r="F53" s="1">
        <v>46010</v>
      </c>
      <c r="G53">
        <v>14537.37</v>
      </c>
      <c r="H53">
        <v>0.38145400000000002</v>
      </c>
      <c r="J53" s="3">
        <f>(F53-A53)/365</f>
        <v>6.3013698630136991E-2</v>
      </c>
      <c r="K53" s="3">
        <f>(LN(D53/G53)+H53^2*J53/2)/(H53*SQRT(J53))</f>
        <v>-4.1494355366963456</v>
      </c>
      <c r="L53" s="3">
        <f>K53-H53*SQRT(J53)</f>
        <v>-4.245190139499524</v>
      </c>
      <c r="M53" s="3">
        <f>EXP(-E53*J53)*(D53*_xlfn.NORM.DIST(K53,0,1,TRUE)-G53*_xlfn.NORM.DIST(L53,0,1,TRUE))</f>
        <v>3.3209416178255208E-3</v>
      </c>
      <c r="N53" s="3">
        <f>EXP(-E53*J53)*(G53*_xlfn.NORM.DIST(-L53,0,1,TRUE)-D53*_xlfn.NORM.DIST(-K53,0,1,TRUE))</f>
        <v>4799.3860807463407</v>
      </c>
      <c r="O53" s="3" t="b">
        <f>(M53-N53)=EXP(-E53*J53)*(D53-G53)</f>
        <v>1</v>
      </c>
    </row>
    <row r="54" spans="1:15" x14ac:dyDescent="0.3">
      <c r="A54" s="1">
        <v>45987</v>
      </c>
      <c r="B54" t="s">
        <v>15</v>
      </c>
      <c r="C54">
        <v>9691.58</v>
      </c>
      <c r="D54">
        <v>9752.8604099999993</v>
      </c>
      <c r="E54" s="2">
        <v>3.8415231477396977E-2</v>
      </c>
      <c r="F54" s="1">
        <v>46038</v>
      </c>
      <c r="G54">
        <v>4845.79</v>
      </c>
      <c r="H54">
        <v>0.58084599999999997</v>
      </c>
      <c r="J54" s="3">
        <f>(F54-A54)/365</f>
        <v>0.13972602739726028</v>
      </c>
      <c r="K54" s="3">
        <f>(LN(D54/G54)+H54^2*J54/2)/(H54*SQRT(J54))</f>
        <v>3.3300531725363274</v>
      </c>
      <c r="L54" s="3">
        <f>K54-H54*SQRT(J54)</f>
        <v>3.1129332583072582</v>
      </c>
      <c r="M54" s="3">
        <f>EXP(-E54*J54)*(D54*_xlfn.NORM.DIST(K54,0,1,TRUE)-G54*_xlfn.NORM.DIST(L54,0,1,TRUE))</f>
        <v>4881.0543294902527</v>
      </c>
      <c r="N54" s="3">
        <f>EXP(-E54*J54)*(G54*_xlfn.NORM.DIST(-L54,0,1,TRUE)-D54*_xlfn.NORM.DIST(-K54,0,1,TRUE))</f>
        <v>0.25258532251551796</v>
      </c>
      <c r="O54" s="3" t="b">
        <f>(M54-N54)=EXP(-E54*J54)*(D54-G54)</f>
        <v>1</v>
      </c>
    </row>
    <row r="55" spans="1:15" x14ac:dyDescent="0.3">
      <c r="A55" s="1">
        <v>45987</v>
      </c>
      <c r="B55" t="s">
        <v>15</v>
      </c>
      <c r="C55">
        <v>9691.58</v>
      </c>
      <c r="D55">
        <v>9752.8604099999993</v>
      </c>
      <c r="E55" s="2">
        <v>3.8415231477396977E-2</v>
      </c>
      <c r="F55" s="1">
        <v>46038</v>
      </c>
      <c r="G55">
        <v>5814.9480000000003</v>
      </c>
      <c r="H55">
        <v>0.473858</v>
      </c>
      <c r="J55" s="3">
        <f>(F55-A55)/365</f>
        <v>0.13972602739726028</v>
      </c>
      <c r="K55" s="3">
        <f>(LN(D55/G55)+H55^2*J55/2)/(H55*SQRT(J55))</f>
        <v>3.0080864546305897</v>
      </c>
      <c r="L55" s="3">
        <f>K55-H55*SQRT(J55)</f>
        <v>2.8309585957544705</v>
      </c>
      <c r="M55" s="3">
        <f>EXP(-E55*J55)*(D55*_xlfn.NORM.DIST(K55,0,1,TRUE)-G55*_xlfn.NORM.DIST(L55,0,1,TRUE))</f>
        <v>3917.5014273141237</v>
      </c>
      <c r="N55" s="3">
        <f>EXP(-E55*J55)*(G55*_xlfn.NORM.DIST(-L55,0,1,TRUE)-D55*_xlfn.NORM.DIST(-K55,0,1,TRUE))</f>
        <v>0.66955957905762198</v>
      </c>
      <c r="O55" s="3" t="b">
        <f>(M55-N55)=EXP(-E55*J55)*(D55-G55)</f>
        <v>1</v>
      </c>
    </row>
    <row r="56" spans="1:15" x14ac:dyDescent="0.3">
      <c r="A56" s="1">
        <v>45987</v>
      </c>
      <c r="B56" t="s">
        <v>15</v>
      </c>
      <c r="C56">
        <v>9691.58</v>
      </c>
      <c r="D56">
        <v>9752.8604099999993</v>
      </c>
      <c r="E56" s="2">
        <v>3.8415231477396977E-2</v>
      </c>
      <c r="F56" s="1">
        <v>46038</v>
      </c>
      <c r="G56">
        <v>6784.1059999999998</v>
      </c>
      <c r="H56">
        <v>0.37765100000000001</v>
      </c>
      <c r="J56" s="3">
        <f>(F56-A56)/365</f>
        <v>0.13972602739726028</v>
      </c>
      <c r="K56" s="3">
        <f>(LN(D56/G56)+H56^2*J56/2)/(H56*SQRT(J56))</f>
        <v>2.6418732239571621</v>
      </c>
      <c r="L56" s="3">
        <f>K56-H56*SQRT(J56)</f>
        <v>2.5007074885840646</v>
      </c>
      <c r="M56" s="3">
        <f>EXP(-E56*J56)*(D56*_xlfn.NORM.DIST(K56,0,1,TRUE)-G56*_xlfn.NORM.DIST(L56,0,1,TRUE))</f>
        <v>2954.6894916218248</v>
      </c>
      <c r="N56" s="3">
        <f>EXP(-E56*J56)*(G56*_xlfn.NORM.DIST(-L56,0,1,TRUE)-D56*_xlfn.NORM.DIST(-K56,0,1,TRUE))</f>
        <v>1.8275003194310606</v>
      </c>
      <c r="O56" s="3" t="b">
        <f>(M56-N56)=EXP(-E56*J56)*(D56-G56)</f>
        <v>1</v>
      </c>
    </row>
    <row r="57" spans="1:15" x14ac:dyDescent="0.3">
      <c r="A57" s="1">
        <v>45987</v>
      </c>
      <c r="B57" t="s">
        <v>15</v>
      </c>
      <c r="C57">
        <v>9691.58</v>
      </c>
      <c r="D57">
        <v>9752.8604099999993</v>
      </c>
      <c r="E57" s="2">
        <v>3.8415231477396977E-2</v>
      </c>
      <c r="F57" s="1">
        <v>46038</v>
      </c>
      <c r="G57">
        <v>7753.2640000000001</v>
      </c>
      <c r="H57">
        <v>0.28775400000000001</v>
      </c>
      <c r="J57" s="3">
        <f>(F57-A57)/365</f>
        <v>0.13972602739726028</v>
      </c>
      <c r="K57" s="3">
        <f>(LN(D57/G57)+H57^2*J57/2)/(H57*SQRT(J57))</f>
        <v>2.1869330971178309</v>
      </c>
      <c r="L57" s="3">
        <f>K57-H57*SQRT(J57)</f>
        <v>2.079370810730266</v>
      </c>
      <c r="M57" s="3">
        <f>EXP(-E57*J57)*(D57*_xlfn.NORM.DIST(K57,0,1,TRUE)-G57*_xlfn.NORM.DIST(L57,0,1,TRUE))</f>
        <v>1994.3744291113837</v>
      </c>
      <c r="N57" s="3">
        <f>EXP(-E57*J57)*(G57*_xlfn.NORM.DIST(-L57,0,1,TRUE)-D57*_xlfn.NORM.DIST(-K57,0,1,TRUE))</f>
        <v>5.4823142416603394</v>
      </c>
      <c r="O57" s="3" t="b">
        <f>(M57-N57)=EXP(-E57*J57)*(D57-G57)</f>
        <v>1</v>
      </c>
    </row>
    <row r="58" spans="1:15" x14ac:dyDescent="0.3">
      <c r="A58" s="1">
        <v>45987</v>
      </c>
      <c r="B58" t="s">
        <v>15</v>
      </c>
      <c r="C58">
        <v>9691.58</v>
      </c>
      <c r="D58">
        <v>9752.8604099999993</v>
      </c>
      <c r="E58" s="2">
        <v>3.8415231477396977E-2</v>
      </c>
      <c r="F58" s="1">
        <v>46038</v>
      </c>
      <c r="G58">
        <v>8722.4219999999987</v>
      </c>
      <c r="H58">
        <v>0.20001099999999999</v>
      </c>
      <c r="J58" s="3">
        <f>(F58-A58)/365</f>
        <v>0.13972602739726028</v>
      </c>
      <c r="K58" s="3">
        <f>(LN(D58/G58)+H58^2*J58/2)/(H58*SQRT(J58))</f>
        <v>1.5309305482570155</v>
      </c>
      <c r="L58" s="3">
        <f>K58-H58*SQRT(J58)</f>
        <v>1.4561665468437832</v>
      </c>
      <c r="M58" s="3">
        <f>EXP(-E58*J58)*(D58*_xlfn.NORM.DIST(K58,0,1,TRUE)-G58*_xlfn.NORM.DIST(L58,0,1,TRUE))</f>
        <v>1045.3102615635271</v>
      </c>
      <c r="N58" s="3">
        <f>EXP(-E58*J58)*(G58*_xlfn.NORM.DIST(-L58,0,1,TRUE)-D58*_xlfn.NORM.DIST(-K58,0,1,TRUE))</f>
        <v>20.388023126472593</v>
      </c>
      <c r="O58" s="3" t="b">
        <f>(M58-N58)=EXP(-E58*J58)*(D58-G58)</f>
        <v>1</v>
      </c>
    </row>
    <row r="59" spans="1:15" x14ac:dyDescent="0.3">
      <c r="A59" s="1">
        <v>45987</v>
      </c>
      <c r="B59" t="s">
        <v>15</v>
      </c>
      <c r="C59">
        <v>9691.58</v>
      </c>
      <c r="D59">
        <v>9752.8604099999993</v>
      </c>
      <c r="E59" s="2">
        <v>3.8415231477396977E-2</v>
      </c>
      <c r="F59" s="1">
        <v>46038</v>
      </c>
      <c r="G59">
        <v>9207.0010000000002</v>
      </c>
      <c r="H59">
        <v>0.15554100000000001</v>
      </c>
      <c r="J59" s="3">
        <f>(F59-A59)/365</f>
        <v>0.13972602739726028</v>
      </c>
      <c r="K59" s="3">
        <f>(LN(D59/G59)+H59^2*J59/2)/(H59*SQRT(J59))</f>
        <v>1.0197020658987075</v>
      </c>
      <c r="L59" s="3">
        <f>K59-H59*SQRT(J59)</f>
        <v>0.96156092594232723</v>
      </c>
      <c r="M59" s="3">
        <f>EXP(-E59*J59)*(D59*_xlfn.NORM.DIST(K59,0,1,TRUE)-G59*_xlfn.NORM.DIST(L59,0,1,TRUE))</f>
        <v>589.40179127300962</v>
      </c>
      <c r="N59" s="3">
        <f>EXP(-E59*J59)*(G59*_xlfn.NORM.DIST(-L59,0,1,TRUE)-D59*_xlfn.NORM.DIST(-K59,0,1,TRUE))</f>
        <v>46.464491052292445</v>
      </c>
      <c r="O59" s="3" t="b">
        <f>(M59-N59)=EXP(-E59*J59)*(D59-G59)</f>
        <v>1</v>
      </c>
    </row>
    <row r="60" spans="1:15" x14ac:dyDescent="0.3">
      <c r="A60" s="1">
        <v>45987</v>
      </c>
      <c r="B60" t="s">
        <v>15</v>
      </c>
      <c r="C60">
        <v>9691.58</v>
      </c>
      <c r="D60">
        <v>9752.8604099999993</v>
      </c>
      <c r="E60" s="2">
        <v>3.8415231477396977E-2</v>
      </c>
      <c r="F60" s="1">
        <v>46038</v>
      </c>
      <c r="G60">
        <v>9691.58</v>
      </c>
      <c r="H60">
        <v>0.111927</v>
      </c>
      <c r="J60" s="3">
        <f>(F60-A60)/365</f>
        <v>0.13972602739726028</v>
      </c>
      <c r="K60" s="3">
        <f>(LN(D60/G60)+H60^2*J60/2)/(H60*SQRT(J60))</f>
        <v>0.17157432579492021</v>
      </c>
      <c r="L60" s="3">
        <f>K60-H60*SQRT(J60)</f>
        <v>0.12973607496782141</v>
      </c>
      <c r="M60" s="3">
        <f>EXP(-E60*J60)*(D60*_xlfn.NORM.DIST(K60,0,1,TRUE)-G60*_xlfn.NORM.DIST(L60,0,1,TRUE))</f>
        <v>193.69759955319458</v>
      </c>
      <c r="N60" s="3">
        <f>EXP(-E60*J60)*(G60*_xlfn.NORM.DIST(-L60,0,1,TRUE)-D60*_xlfn.NORM.DIST(-K60,0,1,TRUE))</f>
        <v>132.74523754881261</v>
      </c>
      <c r="O60" s="3" t="b">
        <f>(M60-N60)=EXP(-E60*J60)*(D60-G60)</f>
        <v>1</v>
      </c>
    </row>
    <row r="61" spans="1:15" x14ac:dyDescent="0.3">
      <c r="A61" s="1">
        <v>45987</v>
      </c>
      <c r="B61" t="s">
        <v>15</v>
      </c>
      <c r="C61">
        <v>9691.58</v>
      </c>
      <c r="D61">
        <v>9752.8604099999993</v>
      </c>
      <c r="E61" s="2">
        <v>3.8415231477396977E-2</v>
      </c>
      <c r="F61" s="1">
        <v>46038</v>
      </c>
      <c r="G61">
        <v>10176.159</v>
      </c>
      <c r="H61">
        <v>9.2965000000000006E-2</v>
      </c>
      <c r="J61" s="3">
        <f>(F61-A61)/365</f>
        <v>0.13972602739726028</v>
      </c>
      <c r="K61" s="3">
        <f>(LN(D61/G61)+H61^2*J61/2)/(H61*SQRT(J61))</f>
        <v>-1.2052634070627031</v>
      </c>
      <c r="L61" s="3">
        <f>K61-H61*SQRT(J61)</f>
        <v>-1.2400136727549957</v>
      </c>
      <c r="M61" s="3">
        <f>EXP(-E61*J61)*(D61*_xlfn.NORM.DIST(K61,0,1,TRUE)-G61*_xlfn.NORM.DIST(L61,0,1,TRUE))</f>
        <v>18.436295133339733</v>
      </c>
      <c r="N61" s="3">
        <f>EXP(-E61*J61)*(G61*_xlfn.NORM.DIST(-L61,0,1,TRUE)-D61*_xlfn.NORM.DIST(-K61,0,1,TRUE))</f>
        <v>439.46887134529248</v>
      </c>
      <c r="O61" s="3" t="b">
        <f>(M61-N61)=EXP(-E61*J61)*(D61-G61)</f>
        <v>1</v>
      </c>
    </row>
    <row r="62" spans="1:15" x14ac:dyDescent="0.3">
      <c r="A62" s="1">
        <v>45987</v>
      </c>
      <c r="B62" t="s">
        <v>15</v>
      </c>
      <c r="C62">
        <v>9691.58</v>
      </c>
      <c r="D62">
        <v>9752.8604099999993</v>
      </c>
      <c r="E62" s="2">
        <v>3.8415231477396977E-2</v>
      </c>
      <c r="F62" s="1">
        <v>46038</v>
      </c>
      <c r="G62">
        <v>10660.738000000001</v>
      </c>
      <c r="H62">
        <v>0.11122</v>
      </c>
      <c r="J62" s="3">
        <f>(F62-A62)/365</f>
        <v>0.13972602739726028</v>
      </c>
      <c r="K62" s="3">
        <f>(LN(D62/G62)+H62^2*J62/2)/(H62*SQRT(J62))</f>
        <v>-2.120144462275098</v>
      </c>
      <c r="L62" s="3">
        <f>K62-H62*SQRT(J62)</f>
        <v>-2.1617184368923925</v>
      </c>
      <c r="M62" s="3">
        <f>EXP(-E62*J62)*(D62*_xlfn.NORM.DIST(K62,0,1,TRUE)-G62*_xlfn.NORM.DIST(L62,0,1,TRUE))</f>
        <v>2.4337119172608781</v>
      </c>
      <c r="N62" s="3">
        <f>EXP(-E62*J62)*(G62*_xlfn.NORM.DIST(-L62,0,1,TRUE)-D62*_xlfn.NORM.DIST(-K62,0,1,TRUE))</f>
        <v>905.45122634555185</v>
      </c>
      <c r="O62" s="3" t="b">
        <f>(M62-N62)=EXP(-E62*J62)*(D62-G62)</f>
        <v>0</v>
      </c>
    </row>
    <row r="63" spans="1:15" x14ac:dyDescent="0.3">
      <c r="A63" s="1">
        <v>45987</v>
      </c>
      <c r="B63" t="s">
        <v>15</v>
      </c>
      <c r="C63">
        <v>9691.58</v>
      </c>
      <c r="D63">
        <v>9752.8604099999993</v>
      </c>
      <c r="E63" s="2">
        <v>3.8415231477396977E-2</v>
      </c>
      <c r="F63" s="1">
        <v>46038</v>
      </c>
      <c r="G63">
        <v>11629.896000000001</v>
      </c>
      <c r="H63">
        <v>0.158389</v>
      </c>
      <c r="J63" s="3">
        <f>(F63-A63)/365</f>
        <v>0.13972602739726028</v>
      </c>
      <c r="K63" s="3">
        <f>(LN(D63/G63)+H63^2*J63/2)/(H63*SQRT(J63))</f>
        <v>-2.9433937419545928</v>
      </c>
      <c r="L63" s="3">
        <f>K63-H63*SQRT(J63)</f>
        <v>-3.0025994627391519</v>
      </c>
      <c r="M63" s="3">
        <f>EXP(-E63*J63)*(D63*_xlfn.NORM.DIST(K63,0,1,TRUE)-G63*_xlfn.NORM.DIST(L63,0,1,TRUE))</f>
        <v>0.26347942218100429</v>
      </c>
      <c r="N63" s="3">
        <f>EXP(-E63*J63)*(G63*_xlfn.NORM.DIST(-L63,0,1,TRUE)-D63*_xlfn.NORM.DIST(-K63,0,1,TRUE))</f>
        <v>1867.2508702831415</v>
      </c>
      <c r="O63" s="3" t="b">
        <f>(M63-N63)=EXP(-E63*J63)*(D63-G63)</f>
        <v>1</v>
      </c>
    </row>
    <row r="64" spans="1:15" x14ac:dyDescent="0.3">
      <c r="A64" s="1">
        <v>45987</v>
      </c>
      <c r="B64" t="s">
        <v>15</v>
      </c>
      <c r="C64">
        <v>9691.58</v>
      </c>
      <c r="D64">
        <v>9752.8604099999993</v>
      </c>
      <c r="E64" s="2">
        <v>3.8415231477396977E-2</v>
      </c>
      <c r="F64" s="1">
        <v>46038</v>
      </c>
      <c r="G64">
        <v>12599.053999999998</v>
      </c>
      <c r="H64">
        <v>0.20111299999999999</v>
      </c>
      <c r="J64" s="3">
        <f>(F64-A64)/365</f>
        <v>0.13972602739726028</v>
      </c>
      <c r="K64" s="3">
        <f>(LN(D64/G64)+H64^2*J64/2)/(H64*SQRT(J64))</f>
        <v>-3.3685703611847773</v>
      </c>
      <c r="L64" s="3">
        <f>K64-H64*SQRT(J64)</f>
        <v>-3.4437462895898121</v>
      </c>
      <c r="M64" s="3">
        <f>EXP(-E64*J64)*(D64*_xlfn.NORM.DIST(K64,0,1,TRUE)-G64*_xlfn.NORM.DIST(L64,0,1,TRUE))</f>
        <v>7.0084470978481112E-2</v>
      </c>
      <c r="N64" s="3">
        <f>EXP(-E64*J64)*(G64*_xlfn.NORM.DIST(-L64,0,1,TRUE)-D64*_xlfn.NORM.DIST(-K64,0,1,TRUE))</f>
        <v>2831.0273517646056</v>
      </c>
      <c r="O64" s="3" t="b">
        <f>(M64-N64)=EXP(-E64*J64)*(D64-G64)</f>
        <v>1</v>
      </c>
    </row>
    <row r="65" spans="1:15" x14ac:dyDescent="0.3">
      <c r="A65" s="1">
        <v>45987</v>
      </c>
      <c r="B65" t="s">
        <v>15</v>
      </c>
      <c r="C65">
        <v>9691.58</v>
      </c>
      <c r="D65">
        <v>9752.8604099999993</v>
      </c>
      <c r="E65" s="2">
        <v>3.8415231477396977E-2</v>
      </c>
      <c r="F65" s="1">
        <v>46038</v>
      </c>
      <c r="G65">
        <v>13568.212</v>
      </c>
      <c r="H65">
        <v>0.23921600000000001</v>
      </c>
      <c r="J65" s="3">
        <f>(F65-A65)/365</f>
        <v>0.13972602739726028</v>
      </c>
      <c r="K65" s="3">
        <f>(LN(D65/G65)+H65^2*J65/2)/(H65*SQRT(J65))</f>
        <v>-3.6476802737934952</v>
      </c>
      <c r="L65" s="3">
        <f>K65-H65*SQRT(J65)</f>
        <v>-3.7370990825693515</v>
      </c>
      <c r="M65" s="3">
        <f>EXP(-E65*J65)*(D65*_xlfn.NORM.DIST(K65,0,1,TRUE)-G65*_xlfn.NORM.DIST(L65,0,1,TRUE))</f>
        <v>2.7347945380300876E-2</v>
      </c>
      <c r="N65" s="3">
        <f>EXP(-E65*J65)*(G65*_xlfn.NORM.DIST(-L65,0,1,TRUE)-D65*_xlfn.NORM.DIST(-K65,0,1,TRUE))</f>
        <v>3794.9544916716818</v>
      </c>
      <c r="O65" s="3" t="b">
        <f>(M65-N65)=EXP(-E65*J65)*(D65-G65)</f>
        <v>1</v>
      </c>
    </row>
    <row r="66" spans="1:15" x14ac:dyDescent="0.3">
      <c r="A66" s="1">
        <v>45987</v>
      </c>
      <c r="B66" t="s">
        <v>15</v>
      </c>
      <c r="C66">
        <v>9691.58</v>
      </c>
      <c r="D66">
        <v>9752.8604099999993</v>
      </c>
      <c r="E66" s="2">
        <v>3.8415231477396977E-2</v>
      </c>
      <c r="F66" s="1">
        <v>46038</v>
      </c>
      <c r="G66">
        <v>14537.37</v>
      </c>
      <c r="H66">
        <v>0.27360200000000001</v>
      </c>
      <c r="J66" s="3">
        <f>(F66-A66)/365</f>
        <v>0.13972602739726028</v>
      </c>
      <c r="K66" s="3">
        <f>(LN(D66/G66)+H66^2*J66/2)/(H66*SQRT(J66))</f>
        <v>-3.8517979834745253</v>
      </c>
      <c r="L66" s="3">
        <f>K66-H66*SQRT(J66)</f>
        <v>-3.9540702600726285</v>
      </c>
      <c r="M66" s="3">
        <f>EXP(-E66*J66)*(D66*_xlfn.NORM.DIST(K66,0,1,TRUE)-G66*_xlfn.NORM.DIST(L66,0,1,TRUE))</f>
        <v>1.3234783600833225E-2</v>
      </c>
      <c r="N66" s="3">
        <f>EXP(-E66*J66)*(G66*_xlfn.NORM.DIST(-L66,0,1,TRUE)-D66*_xlfn.NORM.DIST(-K66,0,1,TRUE))</f>
        <v>4758.9102549425761</v>
      </c>
      <c r="O66" s="3" t="b">
        <f>(M66-N66)=EXP(-E66*J66)*(D66-G66)</f>
        <v>0</v>
      </c>
    </row>
    <row r="67" spans="1:15" x14ac:dyDescent="0.3">
      <c r="A67" s="1">
        <v>45987</v>
      </c>
      <c r="B67" t="s">
        <v>15</v>
      </c>
      <c r="C67">
        <v>9691.58</v>
      </c>
      <c r="D67">
        <v>9775.6525700000002</v>
      </c>
      <c r="E67" s="2">
        <v>3.7859474300235403E-2</v>
      </c>
      <c r="F67" s="1">
        <v>46073</v>
      </c>
      <c r="G67">
        <v>4845.79</v>
      </c>
      <c r="H67">
        <v>0.49348500000000001</v>
      </c>
      <c r="J67" s="3">
        <f>(F67-A67)/365</f>
        <v>0.23561643835616439</v>
      </c>
      <c r="K67" s="3">
        <f>(LN(D67/G67)+H67^2*J67/2)/(H67*SQRT(J67))</f>
        <v>3.0494960739756425</v>
      </c>
      <c r="L67" s="3">
        <f>K67-H67*SQRT(J67)</f>
        <v>2.8099567885006071</v>
      </c>
      <c r="M67" s="3">
        <f>EXP(-E67*J67)*(D67*_xlfn.NORM.DIST(K67,0,1,TRUE)-G67*_xlfn.NORM.DIST(L67,0,1,TRUE))</f>
        <v>4886.8759374722968</v>
      </c>
      <c r="N67" s="3">
        <f>EXP(-E67*J67)*(G67*_xlfn.NORM.DIST(-L67,0,1,TRUE)-D67*_xlfn.NORM.DIST(-K67,0,1,TRUE))</f>
        <v>0.79373437432989224</v>
      </c>
      <c r="O67" s="3" t="b">
        <f>(M67-N67)=EXP(-E67*J67)*(D67-G67)</f>
        <v>1</v>
      </c>
    </row>
    <row r="68" spans="1:15" x14ac:dyDescent="0.3">
      <c r="A68" s="1">
        <v>45987</v>
      </c>
      <c r="B68" t="s">
        <v>15</v>
      </c>
      <c r="C68">
        <v>9691.58</v>
      </c>
      <c r="D68">
        <v>9775.6525700000002</v>
      </c>
      <c r="E68" s="2">
        <v>3.7859474300235403E-2</v>
      </c>
      <c r="F68" s="1">
        <v>46073</v>
      </c>
      <c r="G68">
        <v>5814.9480000000003</v>
      </c>
      <c r="H68">
        <v>0.40671299999999999</v>
      </c>
      <c r="J68" s="3">
        <f>(F68-A68)/365</f>
        <v>0.23561643835616439</v>
      </c>
      <c r="K68" s="3">
        <f>(LN(D68/G68)+H68^2*J68/2)/(H68*SQRT(J68))</f>
        <v>2.7299700774739781</v>
      </c>
      <c r="L68" s="3">
        <f>K68-H68*SQRT(J68)</f>
        <v>2.5325502138238005</v>
      </c>
      <c r="M68" s="3">
        <f>EXP(-E68*J68)*(D68*_xlfn.NORM.DIST(K68,0,1,TRUE)-G68*_xlfn.NORM.DIST(L68,0,1,TRUE))</f>
        <v>3927.4771029020098</v>
      </c>
      <c r="N68" s="3">
        <f>EXP(-E68*J68)*(G68*_xlfn.NORM.DIST(-L68,0,1,TRUE)-D68*_xlfn.NORM.DIST(-K68,0,1,TRUE))</f>
        <v>1.9461501789631421</v>
      </c>
      <c r="O68" s="3" t="b">
        <f>(M68-N68)=EXP(-E68*J68)*(D68-G68)</f>
        <v>1</v>
      </c>
    </row>
    <row r="69" spans="1:15" x14ac:dyDescent="0.3">
      <c r="A69" s="1">
        <v>45987</v>
      </c>
      <c r="B69" t="s">
        <v>15</v>
      </c>
      <c r="C69">
        <v>9691.58</v>
      </c>
      <c r="D69">
        <v>9775.6525700000002</v>
      </c>
      <c r="E69" s="2">
        <v>3.7859474300235403E-2</v>
      </c>
      <c r="F69" s="1">
        <v>46073</v>
      </c>
      <c r="G69">
        <v>6784.1059999999998</v>
      </c>
      <c r="H69">
        <v>0.32869799999999999</v>
      </c>
      <c r="J69" s="3">
        <f>(F69-A69)/365</f>
        <v>0.23561643835616439</v>
      </c>
      <c r="K69" s="3">
        <f>(LN(D69/G69)+H69^2*J69/2)/(H69*SQRT(J69))</f>
        <v>2.3694012368913189</v>
      </c>
      <c r="L69" s="3">
        <f>K69-H69*SQRT(J69)</f>
        <v>2.2098501176940322</v>
      </c>
      <c r="M69" s="3">
        <f>EXP(-E69*J69)*(D69*_xlfn.NORM.DIST(K69,0,1,TRUE)-G69*_xlfn.NORM.DIST(L69,0,1,TRUE))</f>
        <v>2969.8277252991102</v>
      </c>
      <c r="N69" s="3">
        <f>EXP(-E69*J69)*(G69*_xlfn.NORM.DIST(-L69,0,1,TRUE)-D69*_xlfn.NORM.DIST(-K69,0,1,TRUE))</f>
        <v>4.848022950983311</v>
      </c>
      <c r="O69" s="3" t="b">
        <f>(M69-N69)=EXP(-E69*J69)*(D69-G69)</f>
        <v>1</v>
      </c>
    </row>
    <row r="70" spans="1:15" x14ac:dyDescent="0.3">
      <c r="A70" s="1">
        <v>45987</v>
      </c>
      <c r="B70" t="s">
        <v>15</v>
      </c>
      <c r="C70">
        <v>9691.58</v>
      </c>
      <c r="D70">
        <v>9775.6525700000002</v>
      </c>
      <c r="E70" s="2">
        <v>3.7859474300235403E-2</v>
      </c>
      <c r="F70" s="1">
        <v>46073</v>
      </c>
      <c r="G70">
        <v>7753.2640000000001</v>
      </c>
      <c r="H70">
        <v>0.255969</v>
      </c>
      <c r="J70" s="3">
        <f>(F70-A70)/365</f>
        <v>0.23561643835616439</v>
      </c>
      <c r="K70" s="3">
        <f>(LN(D70/G70)+H70^2*J70/2)/(H70*SQRT(J70))</f>
        <v>1.9275910933457716</v>
      </c>
      <c r="L70" s="3">
        <f>K70-H70*SQRT(J70)</f>
        <v>1.8033428763508086</v>
      </c>
      <c r="M70" s="3">
        <f>EXP(-E70*J70)*(D70*_xlfn.NORM.DIST(K70,0,1,TRUE)-G70*_xlfn.NORM.DIST(L70,0,1,TRUE))</f>
        <v>2017.3664748775184</v>
      </c>
      <c r="N70" s="3">
        <f>EXP(-E70*J70)*(G70*_xlfn.NORM.DIST(-L70,0,1,TRUE)-D70*_xlfn.NORM.DIST(-K70,0,1,TRUE))</f>
        <v>12.9380229043132</v>
      </c>
      <c r="O70" s="3" t="b">
        <f>(M70-N70)=EXP(-E70*J70)*(D70-G70)</f>
        <v>1</v>
      </c>
    </row>
    <row r="71" spans="1:15" x14ac:dyDescent="0.3">
      <c r="A71" s="1">
        <v>45987</v>
      </c>
      <c r="B71" t="s">
        <v>15</v>
      </c>
      <c r="C71">
        <v>9691.58</v>
      </c>
      <c r="D71">
        <v>9775.6525700000002</v>
      </c>
      <c r="E71" s="2">
        <v>3.7859474300235403E-2</v>
      </c>
      <c r="F71" s="1">
        <v>46073</v>
      </c>
      <c r="G71">
        <v>8722.4219999999987</v>
      </c>
      <c r="H71">
        <v>0.18565000000000001</v>
      </c>
      <c r="J71" s="3">
        <f>(F71-A71)/365</f>
        <v>0.23561643835616439</v>
      </c>
      <c r="K71" s="3">
        <f>(LN(D71/G71)+H71^2*J71/2)/(H71*SQRT(J71))</f>
        <v>1.3100826791875753</v>
      </c>
      <c r="L71" s="3">
        <f>K71-H71*SQRT(J71)</f>
        <v>1.2199675422564826</v>
      </c>
      <c r="M71" s="3">
        <f>EXP(-E71*J71)*(D71*_xlfn.NORM.DIST(K71,0,1,TRUE)-G71*_xlfn.NORM.DIST(L71,0,1,TRUE))</f>
        <v>1084.2776268852431</v>
      </c>
      <c r="N71" s="3">
        <f>EXP(-E71*J71)*(G71*_xlfn.NORM.DIST(-L71,0,1,TRUE)-D71*_xlfn.NORM.DIST(-K71,0,1,TRUE))</f>
        <v>40.400425286955617</v>
      </c>
      <c r="O71" s="3" t="b">
        <f>(M71-N71)=EXP(-E71*J71)*(D71-G71)</f>
        <v>1</v>
      </c>
    </row>
    <row r="72" spans="1:15" x14ac:dyDescent="0.3">
      <c r="A72" s="1">
        <v>45987</v>
      </c>
      <c r="B72" t="s">
        <v>15</v>
      </c>
      <c r="C72">
        <v>9691.58</v>
      </c>
      <c r="D72">
        <v>9775.6525700000002</v>
      </c>
      <c r="E72" s="2">
        <v>3.7859474300235403E-2</v>
      </c>
      <c r="F72" s="1">
        <v>46073</v>
      </c>
      <c r="G72">
        <v>9207.0010000000002</v>
      </c>
      <c r="H72">
        <v>0.15079999999999999</v>
      </c>
      <c r="J72" s="3">
        <f>(F72-A72)/365</f>
        <v>0.23561643835616439</v>
      </c>
      <c r="K72" s="3">
        <f>(LN(D72/G72)+H72^2*J72/2)/(H72*SQRT(J72))</f>
        <v>0.85533778000875604</v>
      </c>
      <c r="L72" s="3">
        <f>K72-H72*SQRT(J72)</f>
        <v>0.78213895076443185</v>
      </c>
      <c r="M72" s="3">
        <f>EXP(-E72*J72)*(D72*_xlfn.NORM.DIST(K72,0,1,TRUE)-G72*_xlfn.NORM.DIST(L72,0,1,TRUE))</f>
        <v>643.60786421368698</v>
      </c>
      <c r="N72" s="3">
        <f>EXP(-E72*J72)*(G72*_xlfn.NORM.DIST(-L72,0,1,TRUE)-D72*_xlfn.NORM.DIST(-K72,0,1,TRUE))</f>
        <v>80.006287802862801</v>
      </c>
      <c r="O72" s="3" t="b">
        <f>(M72-N72)=EXP(-E72*J72)*(D72-G72)</f>
        <v>1</v>
      </c>
    </row>
    <row r="73" spans="1:15" x14ac:dyDescent="0.3">
      <c r="A73" s="1">
        <v>45987</v>
      </c>
      <c r="B73" t="s">
        <v>15</v>
      </c>
      <c r="C73">
        <v>9691.58</v>
      </c>
      <c r="D73">
        <v>9775.6525700000002</v>
      </c>
      <c r="E73" s="2">
        <v>3.7859474300235403E-2</v>
      </c>
      <c r="F73" s="1">
        <v>46073</v>
      </c>
      <c r="G73">
        <v>9691.58</v>
      </c>
      <c r="H73">
        <v>0.117689</v>
      </c>
      <c r="J73" s="3">
        <f>(F73-A73)/365</f>
        <v>0.23561643835616439</v>
      </c>
      <c r="K73" s="3">
        <f>(LN(D73/G73)+H73^2*J73/2)/(H73*SQRT(J73))</f>
        <v>0.17976065381378245</v>
      </c>
      <c r="L73" s="3">
        <f>K73-H73*SQRT(J73)</f>
        <v>0.12263401578370775</v>
      </c>
      <c r="M73" s="3">
        <f>EXP(-E73*J73)*(D73*_xlfn.NORM.DIST(K73,0,1,TRUE)-G73*_xlfn.NORM.DIST(L73,0,1,TRUE))</f>
        <v>264.00170911659069</v>
      </c>
      <c r="N73" s="3">
        <f>EXP(-E73*J73)*(G73*_xlfn.NORM.DIST(-L73,0,1,TRUE)-D73*_xlfn.NORM.DIST(-K73,0,1,TRUE))</f>
        <v>180.67575789322549</v>
      </c>
      <c r="O73" s="3" t="b">
        <f>(M73-N73)=EXP(-E73*J73)*(D73-G73)</f>
        <v>0</v>
      </c>
    </row>
    <row r="74" spans="1:15" x14ac:dyDescent="0.3">
      <c r="A74" s="1">
        <v>45987</v>
      </c>
      <c r="B74" t="s">
        <v>15</v>
      </c>
      <c r="C74">
        <v>9691.58</v>
      </c>
      <c r="D74">
        <v>9775.6525700000002</v>
      </c>
      <c r="E74" s="2">
        <v>3.7859474300235403E-2</v>
      </c>
      <c r="F74" s="1">
        <v>46073</v>
      </c>
      <c r="G74">
        <v>10176.159</v>
      </c>
      <c r="H74">
        <v>9.7985000000000003E-2</v>
      </c>
      <c r="J74" s="3">
        <f>(F74-A74)/365</f>
        <v>0.23561643835616439</v>
      </c>
      <c r="K74" s="3">
        <f>(LN(D74/G74)+H74^2*J74/2)/(H74*SQRT(J74))</f>
        <v>-0.8204339583531991</v>
      </c>
      <c r="L74" s="3">
        <f>K74-H74*SQRT(J74)</f>
        <v>-0.86799620824381651</v>
      </c>
      <c r="M74" s="3">
        <f>EXP(-E74*J74)*(D74*_xlfn.NORM.DIST(K74,0,1,TRUE)-G74*_xlfn.NORM.DIST(L74,0,1,TRUE))</f>
        <v>52.236137997737096</v>
      </c>
      <c r="N74" s="3">
        <f>EXP(-E74*J74)*(G74*_xlfn.NORM.DIST(-L74,0,1,TRUE)-D74*_xlfn.NORM.DIST(-K74,0,1,TRUE))</f>
        <v>449.18581196183243</v>
      </c>
      <c r="O74" s="3" t="b">
        <f>(M74-N74)=EXP(-E74*J74)*(D74-G74)</f>
        <v>0</v>
      </c>
    </row>
    <row r="75" spans="1:15" x14ac:dyDescent="0.3">
      <c r="A75" s="1">
        <v>45987</v>
      </c>
      <c r="B75" t="s">
        <v>15</v>
      </c>
      <c r="C75">
        <v>9691.58</v>
      </c>
      <c r="D75">
        <v>9775.6525700000002</v>
      </c>
      <c r="E75" s="2">
        <v>3.7859474300235403E-2</v>
      </c>
      <c r="F75" s="1">
        <v>46073</v>
      </c>
      <c r="G75">
        <v>10660.738000000001</v>
      </c>
      <c r="H75">
        <v>0.104614</v>
      </c>
      <c r="J75" s="3">
        <f>(F75-A75)/365</f>
        <v>0.23561643835616439</v>
      </c>
      <c r="K75" s="3">
        <f>(LN(D75/G75)+H75^2*J75/2)/(H75*SQRT(J75))</f>
        <v>-1.6814395324267275</v>
      </c>
      <c r="L75" s="3">
        <f>K75-H75*SQRT(J75)</f>
        <v>-1.7322195213031581</v>
      </c>
      <c r="M75" s="3">
        <f>EXP(-E75*J75)*(D75*_xlfn.NORM.DIST(K75,0,1,TRUE)-G75*_xlfn.NORM.DIST(L75,0,1,TRUE))</f>
        <v>9.2385776821896073</v>
      </c>
      <c r="N75" s="3">
        <f>EXP(-E75*J75)*(G75*_xlfn.NORM.DIST(-L75,0,1,TRUE)-D75*_xlfn.NORM.DIST(-K75,0,1,TRUE))</f>
        <v>886.4638768337461</v>
      </c>
      <c r="O75" s="3" t="b">
        <f>(M75-N75)=EXP(-E75*J75)*(D75-G75)</f>
        <v>0</v>
      </c>
    </row>
    <row r="76" spans="1:15" x14ac:dyDescent="0.3">
      <c r="A76" s="1">
        <v>45987</v>
      </c>
      <c r="B76" t="s">
        <v>15</v>
      </c>
      <c r="C76">
        <v>9691.58</v>
      </c>
      <c r="D76">
        <v>9775.6525700000002</v>
      </c>
      <c r="E76" s="2">
        <v>3.7859474300235403E-2</v>
      </c>
      <c r="F76" s="1">
        <v>46073</v>
      </c>
      <c r="G76">
        <v>11629.896000000001</v>
      </c>
      <c r="H76">
        <v>0.138546</v>
      </c>
      <c r="J76" s="3">
        <f>(F76-A76)/365</f>
        <v>0.23561643835616439</v>
      </c>
      <c r="K76" s="3">
        <f>(LN(D76/G76)+H76^2*J76/2)/(H76*SQRT(J76))</f>
        <v>-2.5490120226125779</v>
      </c>
      <c r="L76" s="3">
        <f>K76-H76*SQRT(J76)</f>
        <v>-2.6162627188757352</v>
      </c>
      <c r="M76" s="3">
        <f>EXP(-E76*J76)*(D76*_xlfn.NORM.DIST(K76,0,1,TRUE)-G76*_xlfn.NORM.DIST(L76,0,1,TRUE))</f>
        <v>1.0988463239591451</v>
      </c>
      <c r="N76" s="3">
        <f>EXP(-E76*J76)*(G76*_xlfn.NORM.DIST(-L76,0,1,TRUE)-D76*_xlfn.NORM.DIST(-K76,0,1,TRUE))</f>
        <v>1838.875395850439</v>
      </c>
      <c r="O76" s="3" t="b">
        <f>(M76-N76)=EXP(-E76*J76)*(D76-G76)</f>
        <v>1</v>
      </c>
    </row>
    <row r="77" spans="1:15" x14ac:dyDescent="0.3">
      <c r="A77" s="1">
        <v>45987</v>
      </c>
      <c r="B77" t="s">
        <v>15</v>
      </c>
      <c r="C77">
        <v>9691.58</v>
      </c>
      <c r="D77">
        <v>9775.6525700000002</v>
      </c>
      <c r="E77" s="2">
        <v>3.7859474300235403E-2</v>
      </c>
      <c r="F77" s="1">
        <v>46073</v>
      </c>
      <c r="G77">
        <v>12599.053999999998</v>
      </c>
      <c r="H77">
        <v>0.172073</v>
      </c>
      <c r="J77" s="3">
        <f>(F77-A77)/365</f>
        <v>0.23561643835616439</v>
      </c>
      <c r="K77" s="3">
        <f>(LN(D77/G77)+H77^2*J77/2)/(H77*SQRT(J77))</f>
        <v>-2.995979947059384</v>
      </c>
      <c r="L77" s="3">
        <f>K77-H77*SQRT(J77)</f>
        <v>-3.0795047623416028</v>
      </c>
      <c r="M77" s="3">
        <f>EXP(-E77*J77)*(D77*_xlfn.NORM.DIST(K77,0,1,TRUE)-G77*_xlfn.NORM.DIST(L77,0,1,TRUE))</f>
        <v>0.30684661261377955</v>
      </c>
      <c r="N77" s="3">
        <f>EXP(-E77*J77)*(G77*_xlfn.NORM.DIST(-L77,0,1,TRUE)-D77*_xlfn.NORM.DIST(-K77,0,1,TRUE))</f>
        <v>2798.6346465140095</v>
      </c>
      <c r="O77" s="3" t="b">
        <f>(M77-N77)=EXP(-E77*J77)*(D77-G77)</f>
        <v>1</v>
      </c>
    </row>
    <row r="78" spans="1:15" x14ac:dyDescent="0.3">
      <c r="A78" s="1">
        <v>45987</v>
      </c>
      <c r="B78" t="s">
        <v>15</v>
      </c>
      <c r="C78">
        <v>9691.58</v>
      </c>
      <c r="D78">
        <v>9775.6525700000002</v>
      </c>
      <c r="E78" s="2">
        <v>3.7859474300235403E-2</v>
      </c>
      <c r="F78" s="1">
        <v>46073</v>
      </c>
      <c r="G78">
        <v>13568.212</v>
      </c>
      <c r="H78">
        <v>0.202461</v>
      </c>
      <c r="J78" s="3">
        <f>(F78-A78)/365</f>
        <v>0.23561643835616439</v>
      </c>
      <c r="K78" s="3">
        <f>(LN(D78/G78)+H78^2*J78/2)/(H78*SQRT(J78))</f>
        <v>-3.2867463407798283</v>
      </c>
      <c r="L78" s="3">
        <f>K78-H78*SQRT(J78)</f>
        <v>-3.385021593880857</v>
      </c>
      <c r="M78" s="3">
        <f>EXP(-E78*J78)*(D78*_xlfn.NORM.DIST(K78,0,1,TRUE)-G78*_xlfn.NORM.DIST(L78,0,1,TRUE))</f>
        <v>0.1243710239811168</v>
      </c>
      <c r="N78" s="3">
        <f>EXP(-E78*J78)*(G78*_xlfn.NORM.DIST(-L78,0,1,TRUE)-D78*_xlfn.NORM.DIST(-K78,0,1,TRUE))</f>
        <v>3759.0034213002996</v>
      </c>
      <c r="O78" s="3" t="b">
        <f>(M78-N78)=EXP(-E78*J78)*(D78-G78)</f>
        <v>1</v>
      </c>
    </row>
    <row r="79" spans="1:15" x14ac:dyDescent="0.3">
      <c r="A79" s="1">
        <v>45987</v>
      </c>
      <c r="B79" t="s">
        <v>15</v>
      </c>
      <c r="C79">
        <v>9691.58</v>
      </c>
      <c r="D79">
        <v>9775.6525700000002</v>
      </c>
      <c r="E79" s="2">
        <v>3.7859474300235403E-2</v>
      </c>
      <c r="F79" s="1">
        <v>46073</v>
      </c>
      <c r="G79">
        <v>14537.37</v>
      </c>
      <c r="H79">
        <v>0.23003199999999999</v>
      </c>
      <c r="J79" s="3">
        <f>(F79-A79)/365</f>
        <v>0.23561643835616439</v>
      </c>
      <c r="K79" s="3">
        <f>(LN(D79/G79)+H79^2*J79/2)/(H79*SQRT(J79))</f>
        <v>-3.4981178294275055</v>
      </c>
      <c r="L79" s="3">
        <f>K79-H79*SQRT(J79)</f>
        <v>-3.6097761390344707</v>
      </c>
      <c r="M79" s="3">
        <f>EXP(-E79*J79)*(D79*_xlfn.NORM.DIST(K79,0,1,TRUE)-G79*_xlfn.NORM.DIST(L79,0,1,TRUE))</f>
        <v>6.2083457426064567E-2</v>
      </c>
      <c r="N79" s="3">
        <f>EXP(-E79*J79)*(G79*_xlfn.NORM.DIST(-L79,0,1,TRUE)-D79*_xlfn.NORM.DIST(-K79,0,1,TRUE))</f>
        <v>4719.4923841086675</v>
      </c>
      <c r="O79" s="3" t="b">
        <f>(M79-N79)=EXP(-E79*J79)*(D79-G79)</f>
        <v>1</v>
      </c>
    </row>
    <row r="80" spans="1:15" x14ac:dyDescent="0.3">
      <c r="A80" s="1">
        <v>45987</v>
      </c>
      <c r="B80" t="s">
        <v>15</v>
      </c>
      <c r="C80">
        <v>9691.58</v>
      </c>
      <c r="D80">
        <v>9757.2482500000006</v>
      </c>
      <c r="E80" s="2">
        <v>3.7550646669573175E-2</v>
      </c>
      <c r="F80" s="1">
        <v>46101</v>
      </c>
      <c r="G80">
        <v>4845.79</v>
      </c>
      <c r="H80">
        <v>0.45177099999999998</v>
      </c>
      <c r="J80" s="3">
        <f>(F80-A80)/365</f>
        <v>0.31232876712328766</v>
      </c>
      <c r="K80" s="3">
        <f>(LN(D80/G80)+H80^2*J80/2)/(H80*SQRT(J80))</f>
        <v>2.8983573607973381</v>
      </c>
      <c r="L80" s="3">
        <f>K80-H80*SQRT(J80)</f>
        <v>2.6458788948539347</v>
      </c>
      <c r="M80" s="3">
        <f>EXP(-E80*J80)*(D80*_xlfn.NORM.DIST(K80,0,1,TRUE)-G80*_xlfn.NORM.DIST(L80,0,1,TRUE))</f>
        <v>4855.6162800568745</v>
      </c>
      <c r="N80" s="3">
        <f>EXP(-E80*J80)*(G80*_xlfn.NORM.DIST(-L80,0,1,TRUE)-D80*_xlfn.NORM.DIST(-K80,0,1,TRUE))</f>
        <v>1.4238677842709888</v>
      </c>
      <c r="O80" s="3" t="b">
        <f>(M80-N80)=EXP(-E80*J80)*(D80-G80)</f>
        <v>1</v>
      </c>
    </row>
    <row r="81" spans="1:15" x14ac:dyDescent="0.3">
      <c r="A81" s="1">
        <v>45987</v>
      </c>
      <c r="B81" t="s">
        <v>15</v>
      </c>
      <c r="C81">
        <v>9691.58</v>
      </c>
      <c r="D81">
        <v>9757.2482500000006</v>
      </c>
      <c r="E81" s="2">
        <v>3.7550646669573175E-2</v>
      </c>
      <c r="F81" s="1">
        <v>46101</v>
      </c>
      <c r="G81">
        <v>5814.9480000000003</v>
      </c>
      <c r="H81">
        <v>0.37439</v>
      </c>
      <c r="J81" s="3">
        <f>(F81-A81)/365</f>
        <v>0.31232876712328766</v>
      </c>
      <c r="K81" s="3">
        <f>(LN(D81/G81)+H81^2*J81/2)/(H81*SQRT(J81))</f>
        <v>2.5783109778681017</v>
      </c>
      <c r="L81" s="3">
        <f>K81-H81*SQRT(J81)</f>
        <v>2.3690779530290778</v>
      </c>
      <c r="M81" s="3">
        <f>EXP(-E81*J81)*(D81*_xlfn.NORM.DIST(K81,0,1,TRUE)-G81*_xlfn.NORM.DIST(L81,0,1,TRUE))</f>
        <v>3899.7049719691363</v>
      </c>
      <c r="N81" s="3">
        <f>EXP(-E81*J81)*(G81*_xlfn.NORM.DIST(-L81,0,1,TRUE)-D81*_xlfn.NORM.DIST(-K81,0,1,TRUE))</f>
        <v>3.3705257890459741</v>
      </c>
      <c r="O81" s="3" t="b">
        <f>(M81-N81)=EXP(-E81*J81)*(D81-G81)</f>
        <v>1</v>
      </c>
    </row>
    <row r="82" spans="1:15" x14ac:dyDescent="0.3">
      <c r="A82" s="1">
        <v>45987</v>
      </c>
      <c r="B82" t="s">
        <v>15</v>
      </c>
      <c r="C82">
        <v>9691.58</v>
      </c>
      <c r="D82">
        <v>9757.2482500000006</v>
      </c>
      <c r="E82" s="2">
        <v>3.7550646669573175E-2</v>
      </c>
      <c r="F82" s="1">
        <v>46101</v>
      </c>
      <c r="G82">
        <v>6784.1059999999998</v>
      </c>
      <c r="H82">
        <v>0.30482300000000001</v>
      </c>
      <c r="J82" s="3">
        <f>(F82-A82)/365</f>
        <v>0.31232876712328766</v>
      </c>
      <c r="K82" s="3">
        <f>(LN(D82/G82)+H82^2*J82/2)/(H82*SQRT(J82))</f>
        <v>2.218539164658611</v>
      </c>
      <c r="L82" s="3">
        <f>K82-H82*SQRT(J82)</f>
        <v>2.0481846190497381</v>
      </c>
      <c r="M82" s="3">
        <f>EXP(-E82*J82)*(D82*_xlfn.NORM.DIST(K82,0,1,TRUE)-G82*_xlfn.NORM.DIST(L82,0,1,TRUE))</f>
        <v>2946.5299840945522</v>
      </c>
      <c r="N82" s="3">
        <f>EXP(-E82*J82)*(G82*_xlfn.NORM.DIST(-L82,0,1,TRUE)-D82*_xlfn.NORM.DIST(-K82,0,1,TRUE))</f>
        <v>8.0535040069736059</v>
      </c>
      <c r="O82" s="3" t="b">
        <f>(M82-N82)=EXP(-E82*J82)*(D82-G82)</f>
        <v>1</v>
      </c>
    </row>
    <row r="83" spans="1:15" x14ac:dyDescent="0.3">
      <c r="A83" s="1">
        <v>45987</v>
      </c>
      <c r="B83" t="s">
        <v>15</v>
      </c>
      <c r="C83">
        <v>9691.58</v>
      </c>
      <c r="D83">
        <v>9757.2482500000006</v>
      </c>
      <c r="E83" s="2">
        <v>3.7550646669573175E-2</v>
      </c>
      <c r="F83" s="1">
        <v>46101</v>
      </c>
      <c r="G83">
        <v>7753.2640000000001</v>
      </c>
      <c r="H83">
        <v>0.24005399999999999</v>
      </c>
      <c r="J83" s="3">
        <f>(F83-A83)/365</f>
        <v>0.31232876712328766</v>
      </c>
      <c r="K83" s="3">
        <f>(LN(D83/G83)+H83^2*J83/2)/(H83*SQRT(J83))</f>
        <v>1.7807102007279552</v>
      </c>
      <c r="L83" s="3">
        <f>K83-H83*SQRT(J83)</f>
        <v>1.6465527057502392</v>
      </c>
      <c r="M83" s="3">
        <f>EXP(-E83*J83)*(D83*_xlfn.NORM.DIST(K83,0,1,TRUE)-G83*_xlfn.NORM.DIST(L83,0,1,TRUE))</f>
        <v>2000.9839910425476</v>
      </c>
      <c r="N83" s="3">
        <f>EXP(-E83*J83)*(G83*_xlfn.NORM.DIST(-L83,0,1,TRUE)-D83*_xlfn.NORM.DIST(-K83,0,1,TRUE))</f>
        <v>20.365477047482496</v>
      </c>
      <c r="O83" s="3" t="b">
        <f>(M83-N83)=EXP(-E83*J83)*(D83-G83)</f>
        <v>1</v>
      </c>
    </row>
    <row r="84" spans="1:15" x14ac:dyDescent="0.3">
      <c r="A84" s="1">
        <v>45987</v>
      </c>
      <c r="B84" t="s">
        <v>15</v>
      </c>
      <c r="C84">
        <v>9691.58</v>
      </c>
      <c r="D84">
        <v>9757.2482500000006</v>
      </c>
      <c r="E84" s="2">
        <v>3.7550646669573175E-2</v>
      </c>
      <c r="F84" s="1">
        <v>46101</v>
      </c>
      <c r="G84">
        <v>8722.4219999999987</v>
      </c>
      <c r="H84">
        <v>0.177762</v>
      </c>
      <c r="J84" s="3">
        <f>(F84-A84)/365</f>
        <v>0.31232876712328766</v>
      </c>
      <c r="K84" s="3">
        <f>(LN(D84/G84)+H84^2*J84/2)/(H84*SQRT(J84))</f>
        <v>1.1782017376432266</v>
      </c>
      <c r="L84" s="3">
        <f>K84-H84*SQRT(J84)</f>
        <v>1.0788569876193621</v>
      </c>
      <c r="M84" s="3">
        <f>EXP(-E84*J84)*(D84*_xlfn.NORM.DIST(K84,0,1,TRUE)-G84*_xlfn.NORM.DIST(L84,0,1,TRUE))</f>
        <v>1081.4420542234957</v>
      </c>
      <c r="N84" s="3">
        <f>EXP(-E84*J84)*(G84*_xlfn.NORM.DIST(-L84,0,1,TRUE)-D84*_xlfn.NORM.DIST(-K84,0,1,TRUE))</f>
        <v>58.68150632094121</v>
      </c>
      <c r="O84" s="3" t="b">
        <f>(M84-N84)=EXP(-E84*J84)*(D84-G84)</f>
        <v>1</v>
      </c>
    </row>
    <row r="85" spans="1:15" x14ac:dyDescent="0.3">
      <c r="A85" s="1">
        <v>45987</v>
      </c>
      <c r="B85" t="s">
        <v>15</v>
      </c>
      <c r="C85">
        <v>9691.58</v>
      </c>
      <c r="D85">
        <v>9757.2482500000006</v>
      </c>
      <c r="E85" s="2">
        <v>3.7550646669573175E-2</v>
      </c>
      <c r="F85" s="1">
        <v>46101</v>
      </c>
      <c r="G85">
        <v>9207.0010000000002</v>
      </c>
      <c r="H85">
        <v>0.14725199999999999</v>
      </c>
      <c r="J85" s="3">
        <f>(F85-A85)/365</f>
        <v>0.31232876712328766</v>
      </c>
      <c r="K85" s="3">
        <f>(LN(D85/G85)+H85^2*J85/2)/(H85*SQRT(J85))</f>
        <v>0.74650059900099797</v>
      </c>
      <c r="L85" s="3">
        <f>K85-H85*SQRT(J85)</f>
        <v>0.66420678406578071</v>
      </c>
      <c r="M85" s="3">
        <f>EXP(-E85*J85)*(D85*_xlfn.NORM.DIST(K85,0,1,TRUE)-G85*_xlfn.NORM.DIST(L85,0,1,TRUE))</f>
        <v>652.92937906094164</v>
      </c>
      <c r="N85" s="3">
        <f>EXP(-E85*J85)*(G85*_xlfn.NORM.DIST(-L85,0,1,TRUE)-D85*_xlfn.NORM.DIST(-K85,0,1,TRUE))</f>
        <v>109.09781420464465</v>
      </c>
      <c r="O85" s="3" t="b">
        <f>(M85-N85)=EXP(-E85*J85)*(D85-G85)</f>
        <v>0</v>
      </c>
    </row>
    <row r="86" spans="1:15" x14ac:dyDescent="0.3">
      <c r="A86" s="1">
        <v>45987</v>
      </c>
      <c r="B86" t="s">
        <v>15</v>
      </c>
      <c r="C86">
        <v>9691.58</v>
      </c>
      <c r="D86">
        <v>9757.2482500000006</v>
      </c>
      <c r="E86" s="2">
        <v>3.7550646669573175E-2</v>
      </c>
      <c r="F86" s="1">
        <v>46101</v>
      </c>
      <c r="G86">
        <v>9691.58</v>
      </c>
      <c r="H86">
        <v>0.118714</v>
      </c>
      <c r="J86" s="3">
        <f>(F86-A86)/365</f>
        <v>0.31232876712328766</v>
      </c>
      <c r="K86" s="3">
        <f>(LN(D86/G86)+H86^2*J86/2)/(H86*SQRT(J86))</f>
        <v>0.13495793311792298</v>
      </c>
      <c r="L86" s="3">
        <f>K86-H86*SQRT(J86)</f>
        <v>6.8612973822162124E-2</v>
      </c>
      <c r="M86" s="3">
        <f>EXP(-E86*J86)*(D86*_xlfn.NORM.DIST(K86,0,1,TRUE)-G86*_xlfn.NORM.DIST(L86,0,1,TRUE))</f>
        <v>288.10345121558413</v>
      </c>
      <c r="N86" s="3">
        <f>EXP(-E86*J86)*(G86*_xlfn.NORM.DIST(-L86,0,1,TRUE)-D86*_xlfn.NORM.DIST(-K86,0,1,TRUE))</f>
        <v>223.20086940554359</v>
      </c>
      <c r="O86" s="3" t="b">
        <f>(M86-N86)=EXP(-E86*J86)*(D86-G86)</f>
        <v>1</v>
      </c>
    </row>
    <row r="87" spans="1:15" x14ac:dyDescent="0.3">
      <c r="A87" s="1">
        <v>45987</v>
      </c>
      <c r="B87" t="s">
        <v>15</v>
      </c>
      <c r="C87">
        <v>9691.58</v>
      </c>
      <c r="D87">
        <v>9757.2482500000006</v>
      </c>
      <c r="E87" s="2">
        <v>3.7550646669573175E-2</v>
      </c>
      <c r="F87" s="1">
        <v>46101</v>
      </c>
      <c r="G87">
        <v>10176.159</v>
      </c>
      <c r="H87">
        <v>0.100397</v>
      </c>
      <c r="J87" s="3">
        <f>(F87-A87)/365</f>
        <v>0.31232876712328766</v>
      </c>
      <c r="K87" s="3">
        <f>(LN(D87/G87)+H87^2*J87/2)/(H87*SQRT(J87))</f>
        <v>-0.72116211016034015</v>
      </c>
      <c r="L87" s="3">
        <f>K87-H87*SQRT(J87)</f>
        <v>-0.77727036090091417</v>
      </c>
      <c r="M87" s="3">
        <f>EXP(-E87*J87)*(D87*_xlfn.NORM.DIST(K87,0,1,TRUE)-G87*_xlfn.NORM.DIST(L87,0,1,TRUE))</f>
        <v>72.560873392039625</v>
      </c>
      <c r="N87" s="3">
        <f>EXP(-E87*J87)*(G87*_xlfn.NORM.DIST(-L87,0,1,TRUE)-D87*_xlfn.NORM.DIST(-K87,0,1,TRUE))</f>
        <v>486.58727462825556</v>
      </c>
      <c r="O87" s="3" t="b">
        <f>(M87-N87)=EXP(-E87*J87)*(D87-G87)</f>
        <v>1</v>
      </c>
    </row>
    <row r="88" spans="1:15" x14ac:dyDescent="0.3">
      <c r="A88" s="1">
        <v>45987</v>
      </c>
      <c r="B88" t="s">
        <v>15</v>
      </c>
      <c r="C88">
        <v>9691.58</v>
      </c>
      <c r="D88">
        <v>9757.2482500000006</v>
      </c>
      <c r="E88" s="2">
        <v>3.7550646669573175E-2</v>
      </c>
      <c r="F88" s="1">
        <v>46101</v>
      </c>
      <c r="G88">
        <v>10660.738000000001</v>
      </c>
      <c r="H88">
        <v>0.102494</v>
      </c>
      <c r="J88" s="3">
        <f>(F88-A88)/365</f>
        <v>0.31232876712328766</v>
      </c>
      <c r="K88" s="3">
        <f>(LN(D88/G88)+H88^2*J88/2)/(H88*SQRT(J88))</f>
        <v>-1.5173958193938364</v>
      </c>
      <c r="L88" s="3">
        <f>K88-H88*SQRT(J88)</f>
        <v>-1.5746760075608572</v>
      </c>
      <c r="M88" s="3">
        <f>EXP(-E88*J88)*(D88*_xlfn.NORM.DIST(K88,0,1,TRUE)-G88*_xlfn.NORM.DIST(L88,0,1,TRUE))</f>
        <v>15.218515461457601</v>
      </c>
      <c r="N88" s="3">
        <f>EXP(-E88*J88)*(G88*_xlfn.NORM.DIST(-L88,0,1,TRUE)-D88*_xlfn.NORM.DIST(-K88,0,1,TRUE))</f>
        <v>908.17389974393075</v>
      </c>
      <c r="O88" s="3" t="b">
        <f>(M88-N88)=EXP(-E88*J88)*(D88-G88)</f>
        <v>1</v>
      </c>
    </row>
    <row r="89" spans="1:15" x14ac:dyDescent="0.3">
      <c r="A89" s="1">
        <v>45987</v>
      </c>
      <c r="B89" t="s">
        <v>15</v>
      </c>
      <c r="C89">
        <v>9691.58</v>
      </c>
      <c r="D89">
        <v>9757.2482500000006</v>
      </c>
      <c r="E89" s="2">
        <v>3.7550646669573175E-2</v>
      </c>
      <c r="F89" s="1">
        <v>46101</v>
      </c>
      <c r="G89">
        <v>11629.896000000001</v>
      </c>
      <c r="H89">
        <v>0.12934499999999999</v>
      </c>
      <c r="J89" s="3">
        <f>(F89-A89)/365</f>
        <v>0.31232876712328766</v>
      </c>
      <c r="K89" s="3">
        <f>(LN(D89/G89)+H89^2*J89/2)/(H89*SQRT(J89))</f>
        <v>-2.3926538914662427</v>
      </c>
      <c r="L89" s="3">
        <f>K89-H89*SQRT(J89)</f>
        <v>-2.4649401320116731</v>
      </c>
      <c r="M89" s="3">
        <f>EXP(-E89*J89)*(D89*_xlfn.NORM.DIST(K89,0,1,TRUE)-G89*_xlfn.NORM.DIST(L89,0,1,TRUE))</f>
        <v>1.8966218554156697</v>
      </c>
      <c r="N89" s="3">
        <f>EXP(-E89*J89)*(G89*_xlfn.NORM.DIST(-L89,0,1,TRUE)-D89*_xlfn.NORM.DIST(-K89,0,1,TRUE))</f>
        <v>1852.7099722304006</v>
      </c>
      <c r="O89" s="3" t="b">
        <f>(M89-N89)=EXP(-E89*J89)*(D89-G89)</f>
        <v>1</v>
      </c>
    </row>
    <row r="90" spans="1:15" x14ac:dyDescent="0.3">
      <c r="A90" s="1">
        <v>45987</v>
      </c>
      <c r="B90" t="s">
        <v>15</v>
      </c>
      <c r="C90">
        <v>9691.58</v>
      </c>
      <c r="D90">
        <v>9757.2482500000006</v>
      </c>
      <c r="E90" s="2">
        <v>3.7550646669573175E-2</v>
      </c>
      <c r="F90" s="1">
        <v>46101</v>
      </c>
      <c r="G90">
        <v>12599.053999999998</v>
      </c>
      <c r="H90">
        <v>0.15801200000000001</v>
      </c>
      <c r="J90" s="3">
        <f>(F90-A90)/365</f>
        <v>0.31232876712328766</v>
      </c>
      <c r="K90" s="3">
        <f>(LN(D90/G90)+H90^2*J90/2)/(H90*SQRT(J90))</f>
        <v>-2.8504160750849925</v>
      </c>
      <c r="L90" s="3">
        <f>K90-H90*SQRT(J90)</f>
        <v>-2.9387232647024071</v>
      </c>
      <c r="M90" s="3">
        <f>EXP(-E90*J90)*(D90*_xlfn.NORM.DIST(K90,0,1,TRUE)-G90*_xlfn.NORM.DIST(L90,0,1,TRUE))</f>
        <v>0.53361392371290695</v>
      </c>
      <c r="N90" s="3">
        <f>EXP(-E90*J90)*(G90*_xlfn.NORM.DIST(-L90,0,1,TRUE)-D90*_xlfn.NORM.DIST(-K90,0,1,TRUE))</f>
        <v>2809.2049303912099</v>
      </c>
      <c r="O90" s="3" t="b">
        <f>(M90-N90)=EXP(-E90*J90)*(D90-G90)</f>
        <v>1</v>
      </c>
    </row>
    <row r="91" spans="1:15" x14ac:dyDescent="0.3">
      <c r="A91" s="1">
        <v>45987</v>
      </c>
      <c r="B91" t="s">
        <v>15</v>
      </c>
      <c r="C91">
        <v>9691.58</v>
      </c>
      <c r="D91">
        <v>9757.2482500000006</v>
      </c>
      <c r="E91" s="2">
        <v>3.7550646669573175E-2</v>
      </c>
      <c r="F91" s="1">
        <v>46101</v>
      </c>
      <c r="G91">
        <v>13568.212</v>
      </c>
      <c r="H91">
        <v>0.18440300000000001</v>
      </c>
      <c r="J91" s="3">
        <f>(F91-A91)/365</f>
        <v>0.31232876712328766</v>
      </c>
      <c r="K91" s="3">
        <f>(LN(D91/G91)+H91^2*J91/2)/(H91*SQRT(J91))</f>
        <v>-3.1478854220267398</v>
      </c>
      <c r="L91" s="3">
        <f>K91-H91*SQRT(J91)</f>
        <v>-3.2509415866662614</v>
      </c>
      <c r="M91" s="3">
        <f>EXP(-E91*J91)*(D91*_xlfn.NORM.DIST(K91,0,1,TRUE)-G91*_xlfn.NORM.DIST(L91,0,1,TRUE))</f>
        <v>0.21731793024730459</v>
      </c>
      <c r="N91" s="3">
        <f>EXP(-E91*J91)*(G91*_xlfn.NORM.DIST(-L91,0,1,TRUE)-D91*_xlfn.NORM.DIST(-K91,0,1,TRUE))</f>
        <v>3766.7466004902572</v>
      </c>
      <c r="O91" s="3" t="b">
        <f>(M91-N91)=EXP(-E91*J91)*(D91-G91)</f>
        <v>1</v>
      </c>
    </row>
    <row r="92" spans="1:15" x14ac:dyDescent="0.3">
      <c r="A92" s="1">
        <v>45987</v>
      </c>
      <c r="B92" t="s">
        <v>15</v>
      </c>
      <c r="C92">
        <v>9691.58</v>
      </c>
      <c r="D92">
        <v>9757.2482500000006</v>
      </c>
      <c r="E92" s="2">
        <v>3.7550646669573175E-2</v>
      </c>
      <c r="F92" s="1">
        <v>46101</v>
      </c>
      <c r="G92">
        <v>14537.37</v>
      </c>
      <c r="H92">
        <v>0.208484</v>
      </c>
      <c r="J92" s="3">
        <f>(F92-A92)/365</f>
        <v>0.31232876712328766</v>
      </c>
      <c r="K92" s="3">
        <f>(LN(D92/G92)+H92^2*J92/2)/(H92*SQRT(J92))</f>
        <v>-3.3637488081919131</v>
      </c>
      <c r="L92" s="3">
        <f>K92-H92*SQRT(J92)</f>
        <v>-3.480262972433851</v>
      </c>
      <c r="M92" s="3">
        <f>EXP(-E92*J92)*(D92*_xlfn.NORM.DIST(K92,0,1,TRUE)-G92*_xlfn.NORM.DIST(L92,0,1,TRUE))</f>
        <v>0.10891887854066054</v>
      </c>
      <c r="N92" s="3">
        <f>EXP(-E92*J92)*(G92*_xlfn.NORM.DIST(-L92,0,1,TRUE)-D92*_xlfn.NORM.DIST(-K92,0,1,TRUE))</f>
        <v>4724.4961675310642</v>
      </c>
      <c r="O92" s="3" t="b">
        <f>(M92-N92)=EXP(-E92*J92)*(D92-G92)</f>
        <v>1</v>
      </c>
    </row>
    <row r="93" spans="1:15" x14ac:dyDescent="0.3">
      <c r="A93" s="1">
        <v>45987</v>
      </c>
      <c r="B93" t="s">
        <v>15</v>
      </c>
      <c r="C93">
        <v>9691.58</v>
      </c>
      <c r="D93">
        <v>9755.5052899999991</v>
      </c>
      <c r="E93" s="2">
        <v>3.6508869786206932E-2</v>
      </c>
      <c r="F93" s="1">
        <v>46192</v>
      </c>
      <c r="G93">
        <v>4845.79</v>
      </c>
      <c r="H93">
        <v>0.37201400000000001</v>
      </c>
      <c r="J93" s="3">
        <f>(F93-A93)/365</f>
        <v>0.56164383561643838</v>
      </c>
      <c r="K93" s="3">
        <f>(LN(D93/G93)+H93^2*J93/2)/(H93*SQRT(J93))</f>
        <v>2.649177724243013</v>
      </c>
      <c r="L93" s="3">
        <f>K93-H93*SQRT(J93)</f>
        <v>2.3703796418604055</v>
      </c>
      <c r="M93" s="3">
        <f>EXP(-E93*J93)*(D93*_xlfn.NORM.DIST(K93,0,1,TRUE)-G93*_xlfn.NORM.DIST(L93,0,1,TRUE))</f>
        <v>4813.6886451595319</v>
      </c>
      <c r="N93" s="3">
        <f>EXP(-E93*J93)*(G93*_xlfn.NORM.DIST(-L93,0,1,TRUE)-D93*_xlfn.NORM.DIST(-K93,0,1,TRUE))</f>
        <v>3.6218405132980527</v>
      </c>
      <c r="O93" s="3" t="b">
        <f>(M93-N93)=EXP(-E93*J93)*(D93-G93)</f>
        <v>0</v>
      </c>
    </row>
    <row r="94" spans="1:15" x14ac:dyDescent="0.3">
      <c r="A94" s="1">
        <v>45987</v>
      </c>
      <c r="B94" t="s">
        <v>15</v>
      </c>
      <c r="C94">
        <v>9691.58</v>
      </c>
      <c r="D94">
        <v>9755.5052899999991</v>
      </c>
      <c r="E94" s="2">
        <v>3.6508869786206932E-2</v>
      </c>
      <c r="F94" s="1">
        <v>46192</v>
      </c>
      <c r="G94">
        <v>5814.9480000000003</v>
      </c>
      <c r="H94">
        <v>0.31381799999999999</v>
      </c>
      <c r="J94" s="3">
        <f>(F94-A94)/365</f>
        <v>0.56164383561643838</v>
      </c>
      <c r="K94" s="3">
        <f>(LN(D94/G94)+H94^2*J94/2)/(H94*SQRT(J94))</f>
        <v>2.3175685192107855</v>
      </c>
      <c r="L94" s="3">
        <f>K94-H94*SQRT(J94)</f>
        <v>2.0823842072839627</v>
      </c>
      <c r="M94" s="3">
        <f>EXP(-E94*J94)*(D94*_xlfn.NORM.DIST(K94,0,1,TRUE)-G94*_xlfn.NORM.DIST(L94,0,1,TRUE))</f>
        <v>3869.0133775960589</v>
      </c>
      <c r="N94" s="3">
        <f>EXP(-E94*J94)*(G94*_xlfn.NORM.DIST(-L94,0,1,TRUE)-D94*_xlfn.NORM.DIST(-K94,0,1,TRUE))</f>
        <v>8.4343637698362635</v>
      </c>
      <c r="O94" s="3" t="b">
        <f>(M94-N94)=EXP(-E94*J94)*(D94-G94)</f>
        <v>1</v>
      </c>
    </row>
    <row r="95" spans="1:15" x14ac:dyDescent="0.3">
      <c r="A95" s="1">
        <v>45987</v>
      </c>
      <c r="B95" t="s">
        <v>15</v>
      </c>
      <c r="C95">
        <v>9691.58</v>
      </c>
      <c r="D95">
        <v>9755.5052899999991</v>
      </c>
      <c r="E95" s="2">
        <v>3.6508869786206932E-2</v>
      </c>
      <c r="F95" s="1">
        <v>46192</v>
      </c>
      <c r="G95">
        <v>6784.1059999999998</v>
      </c>
      <c r="H95">
        <v>0.26161499999999999</v>
      </c>
      <c r="J95" s="3">
        <f>(F95-A95)/365</f>
        <v>0.56164383561643838</v>
      </c>
      <c r="K95" s="3">
        <f>(LN(D95/G95)+H95^2*J95/2)/(H95*SQRT(J95))</f>
        <v>1.9507585881872325</v>
      </c>
      <c r="L95" s="3">
        <f>K95-H95*SQRT(J95)</f>
        <v>1.7546967186809079</v>
      </c>
      <c r="M95" s="3">
        <f>EXP(-E95*J95)*(D95*_xlfn.NORM.DIST(K95,0,1,TRUE)-G95*_xlfn.NORM.DIST(L95,0,1,TRUE))</f>
        <v>2930.5324998045276</v>
      </c>
      <c r="N95" s="3">
        <f>EXP(-E95*J95)*(G95*_xlfn.NORM.DIST(-L95,0,1,TRUE)-D95*_xlfn.NORM.DIST(-K95,0,1,TRUE))</f>
        <v>19.441276798317936</v>
      </c>
      <c r="O95" s="3" t="b">
        <f>(M95-N95)=EXP(-E95*J95)*(D95-G95)</f>
        <v>1</v>
      </c>
    </row>
    <row r="96" spans="1:15" x14ac:dyDescent="0.3">
      <c r="A96" s="1">
        <v>45987</v>
      </c>
      <c r="B96" t="s">
        <v>15</v>
      </c>
      <c r="C96">
        <v>9691.58</v>
      </c>
      <c r="D96">
        <v>9755.5052899999991</v>
      </c>
      <c r="E96" s="2">
        <v>3.6508869786206932E-2</v>
      </c>
      <c r="F96" s="1">
        <v>46192</v>
      </c>
      <c r="G96">
        <v>7753.2640000000001</v>
      </c>
      <c r="H96">
        <v>0.21332699999999999</v>
      </c>
      <c r="J96" s="3">
        <f>(F96-A96)/365</f>
        <v>0.56164383561643838</v>
      </c>
      <c r="K96" s="3">
        <f>(LN(D96/G96)+H96^2*J96/2)/(H96*SQRT(J96))</f>
        <v>1.5168098651611379</v>
      </c>
      <c r="L96" s="3">
        <f>K96-H96*SQRT(J96)</f>
        <v>1.3569364235153007</v>
      </c>
      <c r="M96" s="3">
        <f>EXP(-E96*J96)*(D96*_xlfn.NORM.DIST(K96,0,1,TRUE)-G96*_xlfn.NORM.DIST(L96,0,1,TRUE))</f>
        <v>2007.5276854604572</v>
      </c>
      <c r="N96" s="3">
        <f>EXP(-E96*J96)*(G96*_xlfn.NORM.DIST(-L96,0,1,TRUE)-D96*_xlfn.NORM.DIST(-K96,0,1,TRUE))</f>
        <v>45.924253274260366</v>
      </c>
      <c r="O96" s="3" t="b">
        <f>(M96-N96)=EXP(-E96*J96)*(D96-G96)</f>
        <v>1</v>
      </c>
    </row>
    <row r="97" spans="1:15" x14ac:dyDescent="0.3">
      <c r="A97" s="1">
        <v>45987</v>
      </c>
      <c r="B97" t="s">
        <v>15</v>
      </c>
      <c r="C97">
        <v>9691.58</v>
      </c>
      <c r="D97">
        <v>9755.5052899999991</v>
      </c>
      <c r="E97" s="2">
        <v>3.6508869786206932E-2</v>
      </c>
      <c r="F97" s="1">
        <v>46192</v>
      </c>
      <c r="G97">
        <v>8722.4219999999987</v>
      </c>
      <c r="H97">
        <v>0.167658</v>
      </c>
      <c r="J97" s="3">
        <f>(F97-A97)/365</f>
        <v>0.56164383561643838</v>
      </c>
      <c r="K97" s="3">
        <f>(LN(D97/G97)+H97^2*J97/2)/(H97*SQRT(J97))</f>
        <v>0.95368585971833408</v>
      </c>
      <c r="L97" s="3">
        <f>K97-H97*SQRT(J97)</f>
        <v>0.82803809136525275</v>
      </c>
      <c r="M97" s="3">
        <f>EXP(-E97*J97)*(D97*_xlfn.NORM.DIST(K97,0,1,TRUE)-G97*_xlfn.NORM.DIST(L97,0,1,TRUE))</f>
        <v>1127.9395157301801</v>
      </c>
      <c r="N97" s="3">
        <f>EXP(-E97*J97)*(G97*_xlfn.NORM.DIST(-L97,0,1,TRUE)-D97*_xlfn.NORM.DIST(-K97,0,1,TRUE))</f>
        <v>115.8238743639931</v>
      </c>
      <c r="O97" s="3" t="b">
        <f>(M97-N97)=EXP(-E97*J97)*(D97-G97)</f>
        <v>1</v>
      </c>
    </row>
    <row r="98" spans="1:15" x14ac:dyDescent="0.3">
      <c r="A98" s="1">
        <v>45987</v>
      </c>
      <c r="B98" t="s">
        <v>15</v>
      </c>
      <c r="C98">
        <v>9691.58</v>
      </c>
      <c r="D98">
        <v>9755.5052899999991</v>
      </c>
      <c r="E98" s="2">
        <v>3.6508869786206932E-2</v>
      </c>
      <c r="F98" s="1">
        <v>46192</v>
      </c>
      <c r="G98">
        <v>9207.0010000000002</v>
      </c>
      <c r="H98">
        <v>0.145838</v>
      </c>
      <c r="J98" s="3">
        <f>(F98-A98)/365</f>
        <v>0.56164383561643838</v>
      </c>
      <c r="K98" s="3">
        <f>(LN(D98/G98)+H98^2*J98/2)/(H98*SQRT(J98))</f>
        <v>0.58410895641160154</v>
      </c>
      <c r="L98" s="3">
        <f>K98-H98*SQRT(J98)</f>
        <v>0.47481372897791707</v>
      </c>
      <c r="M98" s="3">
        <f>EXP(-E98*J98)*(D98*_xlfn.NORM.DIST(K98,0,1,TRUE)-G98*_xlfn.NORM.DIST(L98,0,1,TRUE))</f>
        <v>728.87696557378979</v>
      </c>
      <c r="N98" s="3">
        <f>EXP(-E98*J98)*(G98*_xlfn.NORM.DIST(-L98,0,1,TRUE)-D98*_xlfn.NORM.DIST(-K98,0,1,TRUE))</f>
        <v>191.50521961761041</v>
      </c>
      <c r="O98" s="3" t="b">
        <f>(M98-N98)=EXP(-E98*J98)*(D98-G98)</f>
        <v>1</v>
      </c>
    </row>
    <row r="99" spans="1:15" x14ac:dyDescent="0.3">
      <c r="A99" s="1">
        <v>45987</v>
      </c>
      <c r="B99" t="s">
        <v>15</v>
      </c>
      <c r="C99">
        <v>9691.58</v>
      </c>
      <c r="D99">
        <v>9755.5052899999991</v>
      </c>
      <c r="E99" s="2">
        <v>3.6508869786206932E-2</v>
      </c>
      <c r="F99" s="1">
        <v>46192</v>
      </c>
      <c r="G99">
        <v>9691.58</v>
      </c>
      <c r="H99">
        <v>0.12554799999999999</v>
      </c>
      <c r="J99" s="3">
        <f>(F99-A99)/365</f>
        <v>0.56164383561643838</v>
      </c>
      <c r="K99" s="3">
        <f>(LN(D99/G99)+H99^2*J99/2)/(H99*SQRT(J99))</f>
        <v>0.11691766622253419</v>
      </c>
      <c r="L99" s="3">
        <f>K99-H99*SQRT(J99)</f>
        <v>2.2828353328472134E-2</v>
      </c>
      <c r="M99" s="3">
        <f>EXP(-E99*J99)*(D99*_xlfn.NORM.DIST(K99,0,1,TRUE)-G99*_xlfn.NORM.DIST(L99,0,1,TRUE))</f>
        <v>389.63072501873495</v>
      </c>
      <c r="N99" s="3">
        <f>EXP(-E99*J99)*(G99*_xlfn.NORM.DIST(-L99,0,1,TRUE)-D99*_xlfn.NORM.DIST(-K99,0,1,TRUE))</f>
        <v>327.00287447256289</v>
      </c>
      <c r="O99" s="3" t="b">
        <f>(M99-N99)=EXP(-E99*J99)*(D99-G99)</f>
        <v>0</v>
      </c>
    </row>
    <row r="100" spans="1:15" x14ac:dyDescent="0.3">
      <c r="A100" s="1">
        <v>45987</v>
      </c>
      <c r="B100" t="s">
        <v>15</v>
      </c>
      <c r="C100">
        <v>9691.58</v>
      </c>
      <c r="D100">
        <v>9755.5052899999991</v>
      </c>
      <c r="E100" s="2">
        <v>3.6508869786206932E-2</v>
      </c>
      <c r="F100" s="1">
        <v>46192</v>
      </c>
      <c r="G100">
        <v>10176.159</v>
      </c>
      <c r="H100">
        <v>0.109407</v>
      </c>
      <c r="J100" s="3">
        <f>(F100-A100)/365</f>
        <v>0.56164383561643838</v>
      </c>
      <c r="K100" s="3">
        <f>(LN(D100/G100)+H100^2*J100/2)/(H100*SQRT(J100))</f>
        <v>-0.47387651805168196</v>
      </c>
      <c r="L100" s="3">
        <f>K100-H100*SQRT(J100)</f>
        <v>-0.55586929735362745</v>
      </c>
      <c r="M100" s="3">
        <f>EXP(-E100*J100)*(D100*_xlfn.NORM.DIST(K100,0,1,TRUE)-G100*_xlfn.NORM.DIST(L100,0,1,TRUE))</f>
        <v>154.60063522599762</v>
      </c>
      <c r="N100" s="3">
        <f>EXP(-E100*J100)*(G100*_xlfn.NORM.DIST(-L100,0,1,TRUE)-D100*_xlfn.NORM.DIST(-K100,0,1,TRUE))</f>
        <v>566.71668008983056</v>
      </c>
      <c r="O100" s="3" t="b">
        <f>(M100-N100)=EXP(-E100*J100)*(D100-G100)</f>
        <v>1</v>
      </c>
    </row>
    <row r="101" spans="1:15" x14ac:dyDescent="0.3">
      <c r="A101" s="1">
        <v>45987</v>
      </c>
      <c r="B101" t="s">
        <v>15</v>
      </c>
      <c r="C101">
        <v>9691.58</v>
      </c>
      <c r="D101">
        <v>9755.5052899999991</v>
      </c>
      <c r="E101" s="2">
        <v>3.6508869786206932E-2</v>
      </c>
      <c r="F101" s="1">
        <v>46192</v>
      </c>
      <c r="G101">
        <v>10660.738000000001</v>
      </c>
      <c r="H101">
        <v>0.10205400000000001</v>
      </c>
      <c r="J101" s="3">
        <f>(F101-A101)/365</f>
        <v>0.56164383561643838</v>
      </c>
      <c r="K101" s="3">
        <f>(LN(D101/G101)+H101^2*J101/2)/(H101*SQRT(J101))</f>
        <v>-1.1219745186154848</v>
      </c>
      <c r="L101" s="3">
        <f>K101-H101*SQRT(J101)</f>
        <v>-1.1984567464334557</v>
      </c>
      <c r="M101" s="3">
        <f>EXP(-E101*J101)*(D101*_xlfn.NORM.DIST(K101,0,1,TRUE)-G101*_xlfn.NORM.DIST(L101,0,1,TRUE))</f>
        <v>46.46509837706288</v>
      </c>
      <c r="N101" s="3">
        <f>EXP(-E101*J101)*(G101*_xlfn.NORM.DIST(-L101,0,1,TRUE)-D101*_xlfn.NORM.DIST(-K101,0,1,TRUE))</f>
        <v>933.32503865090177</v>
      </c>
      <c r="O101" s="3" t="b">
        <f>(M101-N101)=EXP(-E101*J101)*(D101-G101)</f>
        <v>0</v>
      </c>
    </row>
    <row r="102" spans="1:15" x14ac:dyDescent="0.3">
      <c r="A102" s="1">
        <v>45987</v>
      </c>
      <c r="B102" t="s">
        <v>15</v>
      </c>
      <c r="C102">
        <v>9691.58</v>
      </c>
      <c r="D102">
        <v>9755.5052899999991</v>
      </c>
      <c r="E102" s="2">
        <v>3.6508869786206932E-2</v>
      </c>
      <c r="F102" s="1">
        <v>46192</v>
      </c>
      <c r="G102">
        <v>11629.896000000001</v>
      </c>
      <c r="H102">
        <v>0.110512</v>
      </c>
      <c r="J102" s="3">
        <f>(F102-A102)/365</f>
        <v>0.56164383561643838</v>
      </c>
      <c r="K102" s="3">
        <f>(LN(D102/G102)+H102^2*J102/2)/(H102*SQRT(J102))</f>
        <v>-2.0806053319502902</v>
      </c>
      <c r="L102" s="3">
        <f>K102-H102*SQRT(J102)</f>
        <v>-2.163426230304295</v>
      </c>
      <c r="M102" s="3">
        <f>EXP(-E102*J102)*(D102*_xlfn.NORM.DIST(K102,0,1,TRUE)-G102*_xlfn.NORM.DIST(L102,0,1,TRUE))</f>
        <v>5.2558998054194994</v>
      </c>
      <c r="N102" s="3">
        <f>EXP(-E102*J102)*(G102*_xlfn.NORM.DIST(-L102,0,1,TRUE)-D102*_xlfn.NORM.DIST(-K102,0,1,TRUE))</f>
        <v>1841.6036308992736</v>
      </c>
      <c r="O102" s="3" t="b">
        <f>(M102-N102)=EXP(-E102*J102)*(D102-G102)</f>
        <v>1</v>
      </c>
    </row>
    <row r="103" spans="1:15" x14ac:dyDescent="0.3">
      <c r="A103" s="1">
        <v>45987</v>
      </c>
      <c r="B103" t="s">
        <v>15</v>
      </c>
      <c r="C103">
        <v>9691.58</v>
      </c>
      <c r="D103">
        <v>9755.5052899999991</v>
      </c>
      <c r="E103" s="2">
        <v>3.6508869786206932E-2</v>
      </c>
      <c r="F103" s="1">
        <v>46192</v>
      </c>
      <c r="G103">
        <v>12599.053999999998</v>
      </c>
      <c r="H103">
        <v>0.12770599999999999</v>
      </c>
      <c r="J103" s="3">
        <f>(F103-A103)/365</f>
        <v>0.56164383561643838</v>
      </c>
      <c r="K103" s="3">
        <f>(LN(D103/G103)+H103^2*J103/2)/(H103*SQRT(J103))</f>
        <v>-2.6247942866989109</v>
      </c>
      <c r="L103" s="3">
        <f>K103-H103*SQRT(J103)</f>
        <v>-2.7205008673887594</v>
      </c>
      <c r="M103" s="3">
        <f>EXP(-E103*J103)*(D103*_xlfn.NORM.DIST(K103,0,1,TRUE)-G103*_xlfn.NORM.DIST(L103,0,1,TRUE))</f>
        <v>1.2035610379737507</v>
      </c>
      <c r="N103" s="3">
        <f>EXP(-E103*J103)*(G103*_xlfn.NORM.DIST(-L103,0,1,TRUE)-D103*_xlfn.NORM.DIST(-K103,0,1,TRUE))</f>
        <v>2787.039082951836</v>
      </c>
      <c r="O103" s="3" t="b">
        <f>(M103-N103)=EXP(-E103*J103)*(D103-G103)</f>
        <v>1</v>
      </c>
    </row>
    <row r="104" spans="1:15" x14ac:dyDescent="0.3">
      <c r="A104" s="1">
        <v>45987</v>
      </c>
      <c r="B104" t="s">
        <v>15</v>
      </c>
      <c r="C104">
        <v>9691.58</v>
      </c>
      <c r="D104">
        <v>9755.5052899999991</v>
      </c>
      <c r="E104" s="2">
        <v>3.6508869786206932E-2</v>
      </c>
      <c r="F104" s="1">
        <v>46192</v>
      </c>
      <c r="G104">
        <v>13568.212</v>
      </c>
      <c r="H104">
        <v>0.14524400000000001</v>
      </c>
      <c r="J104" s="3">
        <f>(F104-A104)/365</f>
        <v>0.56164383561643838</v>
      </c>
      <c r="K104" s="3">
        <f>(LN(D104/G104)+H104^2*J104/2)/(H104*SQRT(J104))</f>
        <v>-2.9763304217416326</v>
      </c>
      <c r="L104" s="3">
        <f>K104-H104*SQRT(J104)</f>
        <v>-3.0851804883455225</v>
      </c>
      <c r="M104" s="3">
        <f>EXP(-E104*J104)*(D104*_xlfn.NORM.DIST(K104,0,1,TRUE)-G104*_xlfn.NORM.DIST(L104,0,1,TRUE))</f>
        <v>0.41988313721841702</v>
      </c>
      <c r="N104" s="3">
        <f>EXP(-E104*J104)*(G104*_xlfn.NORM.DIST(-L104,0,1,TRUE)-D104*_xlfn.NORM.DIST(-K104,0,1,TRUE))</f>
        <v>3735.7431958710958</v>
      </c>
      <c r="O104" s="3" t="b">
        <f>(M104-N104)=EXP(-E104*J104)*(D104-G104)</f>
        <v>1</v>
      </c>
    </row>
    <row r="105" spans="1:15" x14ac:dyDescent="0.3">
      <c r="A105" s="1">
        <v>45987</v>
      </c>
      <c r="B105" t="s">
        <v>15</v>
      </c>
      <c r="C105">
        <v>9691.58</v>
      </c>
      <c r="D105">
        <v>9755.5052899999991</v>
      </c>
      <c r="E105" s="2">
        <v>3.6508869786206932E-2</v>
      </c>
      <c r="F105" s="1">
        <v>46192</v>
      </c>
      <c r="G105">
        <v>14537.37</v>
      </c>
      <c r="H105">
        <v>0.161804</v>
      </c>
      <c r="J105" s="3">
        <f>(F105-A105)/365</f>
        <v>0.56164383561643838</v>
      </c>
      <c r="K105" s="3">
        <f>(LN(D105/G105)+H105^2*J105/2)/(H105*SQRT(J105))</f>
        <v>-3.2289028867508369</v>
      </c>
      <c r="L105" s="3">
        <f>K105-H105*SQRT(J105)</f>
        <v>-3.3501634977005201</v>
      </c>
      <c r="M105" s="3">
        <f>EXP(-E105*J105)*(D105*_xlfn.NORM.DIST(K105,0,1,TRUE)-G105*_xlfn.NORM.DIST(L105,0,1,TRUE))</f>
        <v>0.18704573039664327</v>
      </c>
      <c r="N105" s="3">
        <f>EXP(-E105*J105)*(G105*_xlfn.NORM.DIST(-L105,0,1,TRUE)-D105*_xlfn.NORM.DIST(-K105,0,1,TRUE))</f>
        <v>4684.9981492842862</v>
      </c>
      <c r="O105" s="3" t="b">
        <f>(M105-N105)=EXP(-E105*J105)*(D105-G105)</f>
        <v>1</v>
      </c>
    </row>
    <row r="106" spans="1:15" x14ac:dyDescent="0.3">
      <c r="A106" s="1">
        <v>45987</v>
      </c>
      <c r="B106" t="s">
        <v>15</v>
      </c>
      <c r="C106">
        <v>9691.58</v>
      </c>
      <c r="D106">
        <v>9772.4931300000007</v>
      </c>
      <c r="E106" s="2">
        <v>3.5687333857246491E-2</v>
      </c>
      <c r="F106" s="1">
        <v>46283</v>
      </c>
      <c r="G106">
        <v>4845.79</v>
      </c>
      <c r="H106">
        <v>0.32743699999999998</v>
      </c>
      <c r="J106" s="3">
        <f>(F106-A106)/365</f>
        <v>0.81095890410958904</v>
      </c>
      <c r="K106" s="3">
        <f>(LN(D106/G106)+H106^2*J106/2)/(H106*SQRT(J106))</f>
        <v>2.5263358757067005</v>
      </c>
      <c r="L106" s="3">
        <f>K106-H106*SQRT(J106)</f>
        <v>2.2314681935873777</v>
      </c>
      <c r="M106" s="3">
        <f>EXP(-E106*J106)*(D106*_xlfn.NORM.DIST(K106,0,1,TRUE)-G106*_xlfn.NORM.DIST(L106,0,1,TRUE))</f>
        <v>4791.8258916644854</v>
      </c>
      <c r="N106" s="3">
        <f>EXP(-E106*J106)*(G106*_xlfn.NORM.DIST(-L106,0,1,TRUE)-D106*_xlfn.NORM.DIST(-K106,0,1,TRUE))</f>
        <v>5.6627944454412393</v>
      </c>
      <c r="O106" s="3" t="b">
        <f>(M106-N106)=EXP(-E106*J106)*(D106-G106)</f>
        <v>1</v>
      </c>
    </row>
    <row r="107" spans="1:15" x14ac:dyDescent="0.3">
      <c r="A107" s="1">
        <v>45987</v>
      </c>
      <c r="B107" t="s">
        <v>15</v>
      </c>
      <c r="C107">
        <v>9691.58</v>
      </c>
      <c r="D107">
        <v>9772.4931300000007</v>
      </c>
      <c r="E107" s="2">
        <v>3.5687333857246491E-2</v>
      </c>
      <c r="F107" s="1">
        <v>46283</v>
      </c>
      <c r="G107">
        <v>5814.9480000000003</v>
      </c>
      <c r="H107">
        <v>0.28054600000000002</v>
      </c>
      <c r="J107" s="3">
        <f>(F107-A107)/365</f>
        <v>0.81095890410958904</v>
      </c>
      <c r="K107" s="3">
        <f>(LN(D107/G107)+H107^2*J107/2)/(H107*SQRT(J107))</f>
        <v>2.1811735899264022</v>
      </c>
      <c r="L107" s="3">
        <f>K107-H107*SQRT(J107)</f>
        <v>1.928532780403204</v>
      </c>
      <c r="M107" s="3">
        <f>EXP(-E107*J107)*(D107*_xlfn.NORM.DIST(K107,0,1,TRUE)-G107*_xlfn.NORM.DIST(L107,0,1,TRUE))</f>
        <v>3858.1113987854687</v>
      </c>
      <c r="N107" s="3">
        <f>EXP(-E107*J107)*(G107*_xlfn.NORM.DIST(-L107,0,1,TRUE)-D107*_xlfn.NORM.DIST(-K107,0,1,TRUE))</f>
        <v>13.459923553402174</v>
      </c>
      <c r="O107" s="3" t="b">
        <f>(M107-N107)=EXP(-E107*J107)*(D107-G107)</f>
        <v>1</v>
      </c>
    </row>
    <row r="108" spans="1:15" x14ac:dyDescent="0.3">
      <c r="A108" s="1">
        <v>45987</v>
      </c>
      <c r="B108" t="s">
        <v>15</v>
      </c>
      <c r="C108">
        <v>9691.58</v>
      </c>
      <c r="D108">
        <v>9772.4931300000007</v>
      </c>
      <c r="E108" s="2">
        <v>3.5687333857246491E-2</v>
      </c>
      <c r="F108" s="1">
        <v>46283</v>
      </c>
      <c r="G108">
        <v>6784.1059999999998</v>
      </c>
      <c r="H108">
        <v>0.238617</v>
      </c>
      <c r="J108" s="3">
        <f>(F108-A108)/365</f>
        <v>0.81095890410958904</v>
      </c>
      <c r="K108" s="3">
        <f>(LN(D108/G108)+H108^2*J108/2)/(H108*SQRT(J108))</f>
        <v>1.8059941056980968</v>
      </c>
      <c r="L108" s="3">
        <f>K108-H108*SQRT(J108)</f>
        <v>1.5911117261738941</v>
      </c>
      <c r="M108" s="3">
        <f>EXP(-E108*J108)*(D108*_xlfn.NORM.DIST(K108,0,1,TRUE)-G108*_xlfn.NORM.DIST(L108,0,1,TRUE))</f>
        <v>2934.1991557094188</v>
      </c>
      <c r="N108" s="3">
        <f>EXP(-E108*J108)*(G108*_xlfn.NORM.DIST(-L108,0,1,TRUE)-D108*_xlfn.NORM.DIST(-K108,0,1,TRUE))</f>
        <v>31.059302464328521</v>
      </c>
      <c r="O108" s="3" t="b">
        <f>(M108-N108)=EXP(-E108*J108)*(D108-G108)</f>
        <v>1</v>
      </c>
    </row>
    <row r="109" spans="1:15" x14ac:dyDescent="0.3">
      <c r="A109" s="1">
        <v>45987</v>
      </c>
      <c r="B109" t="s">
        <v>15</v>
      </c>
      <c r="C109">
        <v>9691.58</v>
      </c>
      <c r="D109">
        <v>9772.4931300000007</v>
      </c>
      <c r="E109" s="2">
        <v>3.5687333857246491E-2</v>
      </c>
      <c r="F109" s="1">
        <v>46283</v>
      </c>
      <c r="G109">
        <v>7753.2640000000001</v>
      </c>
      <c r="H109">
        <v>0.20007900000000001</v>
      </c>
      <c r="J109" s="3">
        <f>(F109-A109)/365</f>
        <v>0.81095890410958904</v>
      </c>
      <c r="K109" s="3">
        <f>(LN(D109/G109)+H109^2*J109/2)/(H109*SQRT(J109))</f>
        <v>1.3746970612483969</v>
      </c>
      <c r="L109" s="3">
        <f>K109-H109*SQRT(J109)</f>
        <v>1.1945194057887147</v>
      </c>
      <c r="M109" s="3">
        <f>EXP(-E109*J109)*(D109*_xlfn.NORM.DIST(K109,0,1,TRUE)-G109*_xlfn.NORM.DIST(L109,0,1,TRUE))</f>
        <v>2033.096828385158</v>
      </c>
      <c r="N109" s="3">
        <f>EXP(-E109*J109)*(G109*_xlfn.NORM.DIST(-L109,0,1,TRUE)-D109*_xlfn.NORM.DIST(-K109,0,1,TRUE))</f>
        <v>71.468597127043481</v>
      </c>
      <c r="O109" s="3" t="b">
        <f>(M109-N109)=EXP(-E109*J109)*(D109-G109)</f>
        <v>1</v>
      </c>
    </row>
    <row r="110" spans="1:15" x14ac:dyDescent="0.3">
      <c r="A110" s="1">
        <v>45987</v>
      </c>
      <c r="B110" t="s">
        <v>15</v>
      </c>
      <c r="C110">
        <v>9691.58</v>
      </c>
      <c r="D110">
        <v>9772.4931300000007</v>
      </c>
      <c r="E110" s="2">
        <v>3.5687333857246491E-2</v>
      </c>
      <c r="F110" s="1">
        <v>46283</v>
      </c>
      <c r="G110">
        <v>8722.4219999999987</v>
      </c>
      <c r="H110">
        <v>0.164044</v>
      </c>
      <c r="J110" s="3">
        <f>(F110-A110)/365</f>
        <v>0.81095890410958904</v>
      </c>
      <c r="K110" s="3">
        <f>(LN(D110/G110)+H110^2*J110/2)/(H110*SQRT(J110))</f>
        <v>0.8433551217107339</v>
      </c>
      <c r="L110" s="3">
        <f>K110-H110*SQRT(J110)</f>
        <v>0.6956281573005354</v>
      </c>
      <c r="M110" s="3">
        <f>EXP(-E110*J110)*(D110*_xlfn.NORM.DIST(K110,0,1,TRUE)-G110*_xlfn.NORM.DIST(L110,0,1,TRUE))</f>
        <v>1187.8669992652035</v>
      </c>
      <c r="N110" s="3">
        <f>EXP(-E110*J110)*(G110*_xlfn.NORM.DIST(-L110,0,1,TRUE)-D110*_xlfn.NORM.DIST(-K110,0,1,TRUE))</f>
        <v>167.75038999406397</v>
      </c>
      <c r="O110" s="3" t="b">
        <f>(M110-N110)=EXP(-E110*J110)*(D110-G110)</f>
        <v>1</v>
      </c>
    </row>
    <row r="111" spans="1:15" x14ac:dyDescent="0.3">
      <c r="A111" s="1">
        <v>45987</v>
      </c>
      <c r="B111" t="s">
        <v>15</v>
      </c>
      <c r="C111">
        <v>9691.58</v>
      </c>
      <c r="D111">
        <v>9772.4931300000007</v>
      </c>
      <c r="E111" s="2">
        <v>3.5687333857246491E-2</v>
      </c>
      <c r="F111" s="1">
        <v>46283</v>
      </c>
      <c r="G111">
        <v>9207.0010000000002</v>
      </c>
      <c r="H111">
        <v>0.146984</v>
      </c>
      <c r="J111" s="3">
        <f>(F111-A111)/365</f>
        <v>0.81095890410958904</v>
      </c>
      <c r="K111" s="3">
        <f>(LN(D111/G111)+H111^2*J111/2)/(H111*SQRT(J111))</f>
        <v>0.51651206954038031</v>
      </c>
      <c r="L111" s="3">
        <f>K111-H111*SQRT(J111)</f>
        <v>0.38414819072208389</v>
      </c>
      <c r="M111" s="3">
        <f>EXP(-E111*J111)*(D111*_xlfn.NORM.DIST(K111,0,1,TRUE)-G111*_xlfn.NORM.DIST(L111,0,1,TRUE))</f>
        <v>809.56258658748675</v>
      </c>
      <c r="N111" s="3">
        <f>EXP(-E111*J111)*(G111*_xlfn.NORM.DIST(-L111,0,1,TRUE)-D111*_xlfn.NORM.DIST(-K111,0,1,TRUE))</f>
        <v>260.20178830983684</v>
      </c>
      <c r="O111" s="3" t="b">
        <f>(M111-N111)=EXP(-E111*J111)*(D111-G111)</f>
        <v>1</v>
      </c>
    </row>
    <row r="112" spans="1:15" x14ac:dyDescent="0.3">
      <c r="A112" s="1">
        <v>45987</v>
      </c>
      <c r="B112" t="s">
        <v>15</v>
      </c>
      <c r="C112">
        <v>9691.58</v>
      </c>
      <c r="D112">
        <v>9772.4931300000007</v>
      </c>
      <c r="E112" s="2">
        <v>3.5687333857246491E-2</v>
      </c>
      <c r="F112" s="1">
        <v>46283</v>
      </c>
      <c r="G112">
        <v>9691.58</v>
      </c>
      <c r="H112">
        <v>0.13094600000000001</v>
      </c>
      <c r="J112" s="3">
        <f>(F112-A112)/365</f>
        <v>0.81095890410958904</v>
      </c>
      <c r="K112" s="3">
        <f>(LN(D112/G112)+H112^2*J112/2)/(H112*SQRT(J112))</f>
        <v>0.12946657438664469</v>
      </c>
      <c r="L112" s="3">
        <f>K112-H112*SQRT(J112)</f>
        <v>1.154543687684334E-2</v>
      </c>
      <c r="M112" s="3">
        <f>EXP(-E112*J112)*(D112*_xlfn.NORM.DIST(K112,0,1,TRUE)-G112*_xlfn.NORM.DIST(L112,0,1,TRUE))</f>
        <v>484.91914440887251</v>
      </c>
      <c r="N112" s="3">
        <f>EXP(-E112*J112)*(G112*_xlfn.NORM.DIST(-L112,0,1,TRUE)-D112*_xlfn.NORM.DIST(-K112,0,1,TRUE))</f>
        <v>406.31415712471056</v>
      </c>
      <c r="O112" s="3" t="b">
        <f>(M112-N112)=EXP(-E112*J112)*(D112-G112)</f>
        <v>1</v>
      </c>
    </row>
    <row r="113" spans="1:15" x14ac:dyDescent="0.3">
      <c r="A113" s="1">
        <v>45987</v>
      </c>
      <c r="B113" t="s">
        <v>15</v>
      </c>
      <c r="C113">
        <v>9691.58</v>
      </c>
      <c r="D113">
        <v>9772.4931300000007</v>
      </c>
      <c r="E113" s="2">
        <v>3.5687333857246491E-2</v>
      </c>
      <c r="F113" s="1">
        <v>46283</v>
      </c>
      <c r="G113">
        <v>10176.159</v>
      </c>
      <c r="H113">
        <v>0.116871</v>
      </c>
      <c r="J113" s="3">
        <f>(F113-A113)/365</f>
        <v>0.81095890410958904</v>
      </c>
      <c r="K113" s="3">
        <f>(LN(D113/G113)+H113^2*J113/2)/(H113*SQRT(J113))</f>
        <v>-0.33196124892446943</v>
      </c>
      <c r="L113" s="3">
        <f>K113-H113*SQRT(J113)</f>
        <v>-0.43720739055466806</v>
      </c>
      <c r="M113" s="3">
        <f>EXP(-E113*J113)*(D113*_xlfn.NORM.DIST(K113,0,1,TRUE)-G113*_xlfn.NORM.DIST(L113,0,1,TRUE))</f>
        <v>240.25945067380928</v>
      </c>
      <c r="N113" s="3">
        <f>EXP(-E113*J113)*(G113*_xlfn.NORM.DIST(-L113,0,1,TRUE)-D113*_xlfn.NORM.DIST(-K113,0,1,TRUE))</f>
        <v>632.41027438313529</v>
      </c>
      <c r="O113" s="3" t="b">
        <f>(M113-N113)=EXP(-E113*J113)*(D113-G113)</f>
        <v>1</v>
      </c>
    </row>
    <row r="114" spans="1:15" x14ac:dyDescent="0.3">
      <c r="A114" s="1">
        <v>45987</v>
      </c>
      <c r="B114" t="s">
        <v>15</v>
      </c>
      <c r="C114">
        <v>9691.58</v>
      </c>
      <c r="D114">
        <v>9772.4931300000007</v>
      </c>
      <c r="E114" s="2">
        <v>3.5687333857246491E-2</v>
      </c>
      <c r="F114" s="1">
        <v>46283</v>
      </c>
      <c r="G114">
        <v>10660.738000000001</v>
      </c>
      <c r="H114">
        <v>0.106588</v>
      </c>
      <c r="J114" s="3">
        <f>(F114-A114)/365</f>
        <v>0.81095890410958904</v>
      </c>
      <c r="K114" s="3">
        <f>(LN(D114/G114)+H114^2*J114/2)/(H114*SQRT(J114))</f>
        <v>-0.85834818087432352</v>
      </c>
      <c r="L114" s="3">
        <f>K114-H114*SQRT(J114)</f>
        <v>-0.95433414611873502</v>
      </c>
      <c r="M114" s="3">
        <f>EXP(-E114*J114)*(D114*_xlfn.NORM.DIST(K114,0,1,TRUE)-G114*_xlfn.NORM.DIST(L114,0,1,TRUE))</f>
        <v>94.415402434887298</v>
      </c>
      <c r="N114" s="3">
        <f>EXP(-E114*J114)*(G114*_xlfn.NORM.DIST(-L114,0,1,TRUE)-D114*_xlfn.NORM.DIST(-K114,0,1,TRUE))</f>
        <v>957.32203713770446</v>
      </c>
      <c r="O114" s="3" t="b">
        <f>(M114-N114)=EXP(-E114*J114)*(D114-G114)</f>
        <v>0</v>
      </c>
    </row>
    <row r="115" spans="1:15" x14ac:dyDescent="0.3">
      <c r="A115" s="1">
        <v>45987</v>
      </c>
      <c r="B115" t="s">
        <v>15</v>
      </c>
      <c r="C115">
        <v>9691.58</v>
      </c>
      <c r="D115">
        <v>9772.4931300000007</v>
      </c>
      <c r="E115" s="2">
        <v>3.5687333857246491E-2</v>
      </c>
      <c r="F115" s="1">
        <v>46283</v>
      </c>
      <c r="G115">
        <v>11629.896000000001</v>
      </c>
      <c r="H115">
        <v>0.102155</v>
      </c>
      <c r="J115" s="3">
        <f>(F115-A115)/365</f>
        <v>0.81095890410958904</v>
      </c>
      <c r="K115" s="3">
        <f>(LN(D115/G115)+H115^2*J115/2)/(H115*SQRT(J115))</f>
        <v>-1.8455132472155027</v>
      </c>
      <c r="L115" s="3">
        <f>K115-H115*SQRT(J115)</f>
        <v>-1.9375071515906936</v>
      </c>
      <c r="M115" s="3">
        <f>EXP(-E115*J115)*(D115*_xlfn.NORM.DIST(K115,0,1,TRUE)-G115*_xlfn.NORM.DIST(L115,0,1,TRUE))</f>
        <v>10.757806161242261</v>
      </c>
      <c r="N115" s="3">
        <f>EXP(-E115*J115)*(G115*_xlfn.NORM.DIST(-L115,0,1,TRUE)-D115*_xlfn.NORM.DIST(-K115,0,1,TRUE))</f>
        <v>1815.1760628510337</v>
      </c>
      <c r="O115" s="3" t="b">
        <f>(M115-N115)=EXP(-E115*J115)*(D115-G115)</f>
        <v>1</v>
      </c>
    </row>
    <row r="116" spans="1:15" x14ac:dyDescent="0.3">
      <c r="A116" s="1">
        <v>45987</v>
      </c>
      <c r="B116" t="s">
        <v>15</v>
      </c>
      <c r="C116">
        <v>9691.58</v>
      </c>
      <c r="D116">
        <v>9772.4931300000007</v>
      </c>
      <c r="E116" s="2">
        <v>3.5687333857246491E-2</v>
      </c>
      <c r="F116" s="1">
        <v>46283</v>
      </c>
      <c r="G116">
        <v>12599.053999999998</v>
      </c>
      <c r="H116">
        <v>0.110441</v>
      </c>
      <c r="J116" s="3">
        <f>(F116-A116)/365</f>
        <v>0.81095890410958904</v>
      </c>
      <c r="K116" s="3">
        <f>(LN(D116/G116)+H116^2*J116/2)/(H116*SQRT(J116))</f>
        <v>-2.5046764850601426</v>
      </c>
      <c r="L116" s="3">
        <f>K116-H116*SQRT(J116)</f>
        <v>-2.6041322022849527</v>
      </c>
      <c r="M116" s="3">
        <f>EXP(-E116*J116)*(D116*_xlfn.NORM.DIST(K116,0,1,TRUE)-G116*_xlfn.NORM.DIST(L116,0,1,TRUE))</f>
        <v>1.8111451341087339</v>
      </c>
      <c r="N116" s="3">
        <f>EXP(-E116*J116)*(G116*_xlfn.NORM.DIST(-L116,0,1,TRUE)-D116*_xlfn.NORM.DIST(-K116,0,1,TRUE))</f>
        <v>2747.7410238108737</v>
      </c>
      <c r="O116" s="3" t="b">
        <f>(M116-N116)=EXP(-E116*J116)*(D116-G116)</f>
        <v>0</v>
      </c>
    </row>
    <row r="117" spans="1:15" x14ac:dyDescent="0.3">
      <c r="A117" s="1">
        <v>45987</v>
      </c>
      <c r="B117" t="s">
        <v>15</v>
      </c>
      <c r="C117">
        <v>9691.58</v>
      </c>
      <c r="D117">
        <v>9772.4931300000007</v>
      </c>
      <c r="E117" s="2">
        <v>3.5687333857246491E-2</v>
      </c>
      <c r="F117" s="1">
        <v>46283</v>
      </c>
      <c r="G117">
        <v>13568.212</v>
      </c>
      <c r="H117">
        <v>0.121812</v>
      </c>
      <c r="J117" s="3">
        <f>(F117-A117)/365</f>
        <v>0.81095890410958904</v>
      </c>
      <c r="K117" s="3">
        <f>(LN(D117/G117)+H117^2*J117/2)/(H117*SQRT(J117))</f>
        <v>-2.9366839088183934</v>
      </c>
      <c r="L117" s="3">
        <f>K117-H117*SQRT(J117)</f>
        <v>-3.0463795818618151</v>
      </c>
      <c r="M117" s="3">
        <f>EXP(-E117*J117)*(D117*_xlfn.NORM.DIST(K117,0,1,TRUE)-G117*_xlfn.NORM.DIST(L117,0,1,TRUE))</f>
        <v>0.48254234170336435</v>
      </c>
      <c r="N117" s="3">
        <f>EXP(-E117*J117)*(G117*_xlfn.NORM.DIST(-L117,0,1,TRUE)-D117*_xlfn.NORM.DIST(-K117,0,1,TRUE))</f>
        <v>3687.9240430054465</v>
      </c>
      <c r="O117" s="3" t="b">
        <f>(M117-N117)=EXP(-E117*J117)*(D117-G117)</f>
        <v>1</v>
      </c>
    </row>
    <row r="118" spans="1:15" x14ac:dyDescent="0.3">
      <c r="A118" s="1">
        <v>45987</v>
      </c>
      <c r="B118" t="s">
        <v>15</v>
      </c>
      <c r="C118">
        <v>9691.58</v>
      </c>
      <c r="D118">
        <v>9772.4931300000007</v>
      </c>
      <c r="E118" s="2">
        <v>3.5687333857246491E-2</v>
      </c>
      <c r="F118" s="1">
        <v>46283</v>
      </c>
      <c r="G118">
        <v>14537.37</v>
      </c>
      <c r="H118">
        <v>0.13346</v>
      </c>
      <c r="J118" s="3">
        <f>(F118-A118)/365</f>
        <v>0.81095890410958904</v>
      </c>
      <c r="K118" s="3">
        <f>(LN(D118/G118)+H118^2*J118/2)/(H118*SQRT(J118))</f>
        <v>-3.2444022599556863</v>
      </c>
      <c r="L118" s="3">
        <f>K118-H118*SQRT(J118)</f>
        <v>-3.3645873363387611</v>
      </c>
      <c r="M118" s="3">
        <f>EXP(-E118*J118)*(D118*_xlfn.NORM.DIST(K118,0,1,TRUE)-G118*_xlfn.NORM.DIST(L118,0,1,TRUE))</f>
        <v>0.17383635667441155</v>
      </c>
      <c r="N118" s="3">
        <f>EXP(-E118*J118)*(G118*_xlfn.NORM.DIST(-L118,0,1,TRUE)-D118*_xlfn.NORM.DIST(-K118,0,1,TRUE))</f>
        <v>4629.1269590073953</v>
      </c>
      <c r="O118" s="3" t="b">
        <f>(M118-N118)=EXP(-E118*J118)*(D118-G118)</f>
        <v>1</v>
      </c>
    </row>
    <row r="119" spans="1:15" x14ac:dyDescent="0.3">
      <c r="A119" s="1">
        <v>45987</v>
      </c>
      <c r="B119" t="s">
        <v>15</v>
      </c>
      <c r="C119">
        <v>9691.58</v>
      </c>
      <c r="D119">
        <v>9816.1283299999996</v>
      </c>
      <c r="E119" s="2">
        <v>3.5114528129678746E-2</v>
      </c>
      <c r="F119" s="1">
        <v>46374</v>
      </c>
      <c r="G119">
        <v>4845.79</v>
      </c>
      <c r="H119">
        <v>0.31917699999999999</v>
      </c>
      <c r="J119" s="3">
        <f>(F119-A119)/365</f>
        <v>1.0602739726027397</v>
      </c>
      <c r="K119" s="3">
        <f>(LN(D119/G119)+H119^2*J119/2)/(H119*SQRT(J119))</f>
        <v>2.3122208879069448</v>
      </c>
      <c r="L119" s="3">
        <f>K119-H119*SQRT(J119)</f>
        <v>1.9835655890876791</v>
      </c>
      <c r="M119" s="3">
        <f>EXP(-E119*J119)*(D119*_xlfn.NORM.DIST(K119,0,1,TRUE)-G119*_xlfn.NORM.DIST(L119,0,1,TRUE))</f>
        <v>4800.9209192721364</v>
      </c>
      <c r="N119" s="3">
        <f>EXP(-E119*J119)*(G119*_xlfn.NORM.DIST(-L119,0,1,TRUE)-D119*_xlfn.NORM.DIST(-K119,0,1,TRUE))</f>
        <v>12.230898136752545</v>
      </c>
      <c r="O119" s="3" t="b">
        <f>(M119-N119)=EXP(-E119*J119)*(D119-G119)</f>
        <v>1</v>
      </c>
    </row>
    <row r="120" spans="1:15" x14ac:dyDescent="0.3">
      <c r="A120" s="1">
        <v>45987</v>
      </c>
      <c r="B120" t="s">
        <v>15</v>
      </c>
      <c r="C120">
        <v>9691.58</v>
      </c>
      <c r="D120">
        <v>9816.1283299999996</v>
      </c>
      <c r="E120" s="2">
        <v>3.5114528129678746E-2</v>
      </c>
      <c r="F120" s="1">
        <v>46374</v>
      </c>
      <c r="G120">
        <v>5814.9480000000003</v>
      </c>
      <c r="H120">
        <v>0.27495700000000001</v>
      </c>
      <c r="J120" s="3">
        <f>(F120-A120)/365</f>
        <v>1.0602739726027397</v>
      </c>
      <c r="K120" s="3">
        <f>(LN(D120/G120)+H120^2*J120/2)/(H120*SQRT(J120))</f>
        <v>1.9909216987433405</v>
      </c>
      <c r="L120" s="3">
        <f>K120-H120*SQRT(J120)</f>
        <v>1.7077995596247673</v>
      </c>
      <c r="M120" s="3">
        <f>EXP(-E120*J120)*(D120*_xlfn.NORM.DIST(K120,0,1,TRUE)-G120*_xlfn.NORM.DIST(L120,0,1,TRUE))</f>
        <v>3880.7093585955076</v>
      </c>
      <c r="N120" s="3">
        <f>EXP(-E120*J120)*(G120*_xlfn.NORM.DIST(-L120,0,1,TRUE)-D120*_xlfn.NORM.DIST(-K120,0,1,TRUE))</f>
        <v>25.758035989228262</v>
      </c>
      <c r="O120" s="3" t="b">
        <f>(M120-N120)=EXP(-E120*J120)*(D120-G120)</f>
        <v>1</v>
      </c>
    </row>
    <row r="121" spans="1:15" x14ac:dyDescent="0.3">
      <c r="A121" s="1">
        <v>45987</v>
      </c>
      <c r="B121" t="s">
        <v>15</v>
      </c>
      <c r="C121">
        <v>9691.58</v>
      </c>
      <c r="D121">
        <v>9816.1283299999996</v>
      </c>
      <c r="E121" s="2">
        <v>3.5114528129678746E-2</v>
      </c>
      <c r="F121" s="1">
        <v>46374</v>
      </c>
      <c r="G121">
        <v>6784.1059999999998</v>
      </c>
      <c r="H121">
        <v>0.235537</v>
      </c>
      <c r="J121" s="3">
        <f>(F121-A121)/365</f>
        <v>1.0602739726027397</v>
      </c>
      <c r="K121" s="3">
        <f>(LN(D121/G121)+H121^2*J121/2)/(H121*SQRT(J121))</f>
        <v>1.6445492359407043</v>
      </c>
      <c r="L121" s="3">
        <f>K121-H121*SQRT(J121)</f>
        <v>1.4020177154426943</v>
      </c>
      <c r="M121" s="3">
        <f>EXP(-E121*J121)*(D121*_xlfn.NORM.DIST(K121,0,1,TRUE)-G121*_xlfn.NORM.DIST(L121,0,1,TRUE))</f>
        <v>2973.9139602879541</v>
      </c>
      <c r="N121" s="3">
        <f>EXP(-E121*J121)*(G121*_xlfn.NORM.DIST(-L121,0,1,TRUE)-D121*_xlfn.NORM.DIST(-K121,0,1,TRUE))</f>
        <v>52.70133621078012</v>
      </c>
      <c r="O121" s="3" t="b">
        <f>(M121-N121)=EXP(-E121*J121)*(D121-G121)</f>
        <v>1</v>
      </c>
    </row>
    <row r="122" spans="1:15" x14ac:dyDescent="0.3">
      <c r="A122" s="1">
        <v>45987</v>
      </c>
      <c r="B122" t="s">
        <v>15</v>
      </c>
      <c r="C122">
        <v>9691.58</v>
      </c>
      <c r="D122">
        <v>9816.1283299999996</v>
      </c>
      <c r="E122" s="2">
        <v>3.5114528129678746E-2</v>
      </c>
      <c r="F122" s="1">
        <v>46374</v>
      </c>
      <c r="G122">
        <v>7753.2640000000001</v>
      </c>
      <c r="H122">
        <v>0.199494</v>
      </c>
      <c r="J122" s="3">
        <f>(F122-A122)/365</f>
        <v>1.0602739726027397</v>
      </c>
      <c r="K122" s="3">
        <f>(LN(D122/G122)+H122^2*J122/2)/(H122*SQRT(J122))</f>
        <v>1.2511607955301316</v>
      </c>
      <c r="L122" s="3">
        <f>K122-H122*SQRT(J122)</f>
        <v>1.0457426100636018</v>
      </c>
      <c r="M122" s="3">
        <f>EXP(-E122*J122)*(D122*_xlfn.NORM.DIST(K122,0,1,TRUE)-G122*_xlfn.NORM.DIST(L122,0,1,TRUE))</f>
        <v>2094.6581822234152</v>
      </c>
      <c r="N122" s="3">
        <f>EXP(-E122*J122)*(G122*_xlfn.NORM.DIST(-L122,0,1,TRUE)-D122*_xlfn.NORM.DIST(-K122,0,1,TRUE))</f>
        <v>107.18425667534719</v>
      </c>
      <c r="O122" s="3" t="b">
        <f>(M122-N122)=EXP(-E122*J122)*(D122-G122)</f>
        <v>1</v>
      </c>
    </row>
    <row r="123" spans="1:15" x14ac:dyDescent="0.3">
      <c r="A123" s="1">
        <v>45987</v>
      </c>
      <c r="B123" t="s">
        <v>15</v>
      </c>
      <c r="C123">
        <v>9691.58</v>
      </c>
      <c r="D123">
        <v>9816.1283299999996</v>
      </c>
      <c r="E123" s="2">
        <v>3.5114528129678746E-2</v>
      </c>
      <c r="F123" s="1">
        <v>46374</v>
      </c>
      <c r="G123">
        <v>8722.4219999999987</v>
      </c>
      <c r="H123">
        <v>0.16611000000000001</v>
      </c>
      <c r="J123" s="3">
        <f>(F123-A123)/365</f>
        <v>1.0602739726027397</v>
      </c>
      <c r="K123" s="3">
        <f>(LN(D123/G123)+H123^2*J123/2)/(H123*SQRT(J123))</f>
        <v>0.77616620827473848</v>
      </c>
      <c r="L123" s="3">
        <f>K123-H123*SQRT(J123)</f>
        <v>0.60512339602050891</v>
      </c>
      <c r="M123" s="3">
        <f>EXP(-E123*J123)*(D123*_xlfn.NORM.DIST(K123,0,1,TRUE)-G123*_xlfn.NORM.DIST(L123,0,1,TRUE))</f>
        <v>1274.6210115431704</v>
      </c>
      <c r="N123" s="3">
        <f>EXP(-E123*J123)*(G123*_xlfn.NORM.DIST(-L123,0,1,TRUE)-D123*_xlfn.NORM.DIST(-K123,0,1,TRUE))</f>
        <v>220.88578452420643</v>
      </c>
      <c r="O123" s="3" t="b">
        <f>(M123-N123)=EXP(-E123*J123)*(D123-G123)</f>
        <v>1</v>
      </c>
    </row>
    <row r="124" spans="1:15" x14ac:dyDescent="0.3">
      <c r="A124" s="1">
        <v>45987</v>
      </c>
      <c r="B124" t="s">
        <v>15</v>
      </c>
      <c r="C124">
        <v>9691.58</v>
      </c>
      <c r="D124">
        <v>9816.1283299999996</v>
      </c>
      <c r="E124" s="2">
        <v>3.5114528129678746E-2</v>
      </c>
      <c r="F124" s="1">
        <v>46374</v>
      </c>
      <c r="G124">
        <v>9207.0010000000002</v>
      </c>
      <c r="H124">
        <v>0.15048300000000001</v>
      </c>
      <c r="J124" s="3">
        <f>(F124-A124)/365</f>
        <v>1.0602739726027397</v>
      </c>
      <c r="K124" s="3">
        <f>(LN(D124/G124)+H124^2*J124/2)/(H124*SQRT(J124))</f>
        <v>0.49091171746463402</v>
      </c>
      <c r="L124" s="3">
        <f>K124-H124*SQRT(J124)</f>
        <v>0.33595996551440088</v>
      </c>
      <c r="M124" s="3">
        <f>EXP(-E124*J124)*(D124*_xlfn.NORM.DIST(K124,0,1,TRUE)-G124*_xlfn.NORM.DIST(L124,0,1,TRUE))</f>
        <v>906.92601542932175</v>
      </c>
      <c r="N124" s="3">
        <f>EXP(-E124*J124)*(G124*_xlfn.NORM.DIST(-L124,0,1,TRUE)-D124*_xlfn.NORM.DIST(-K124,0,1,TRUE))</f>
        <v>320.06013767491237</v>
      </c>
      <c r="O124" s="3" t="b">
        <f>(M124-N124)=EXP(-E124*J124)*(D124-G124)</f>
        <v>0</v>
      </c>
    </row>
    <row r="125" spans="1:15" x14ac:dyDescent="0.3">
      <c r="A125" s="1">
        <v>45987</v>
      </c>
      <c r="B125" t="s">
        <v>15</v>
      </c>
      <c r="C125">
        <v>9691.58</v>
      </c>
      <c r="D125">
        <v>9816.1283299999996</v>
      </c>
      <c r="E125" s="2">
        <v>3.5114528129678746E-2</v>
      </c>
      <c r="F125" s="1">
        <v>46374</v>
      </c>
      <c r="G125">
        <v>9691.58</v>
      </c>
      <c r="H125">
        <v>0.13592099999999999</v>
      </c>
      <c r="J125" s="3">
        <f>(F125-A125)/365</f>
        <v>1.0602739726027397</v>
      </c>
      <c r="K125" s="3">
        <f>(LN(D125/G125)+H125^2*J125/2)/(H125*SQRT(J125))</f>
        <v>0.16121585726759016</v>
      </c>
      <c r="L125" s="3">
        <f>K125-H125*SQRT(J125)</f>
        <v>2.1258539319199743E-2</v>
      </c>
      <c r="M125" s="3">
        <f>EXP(-E125*J125)*(D125*_xlfn.NORM.DIST(K125,0,1,TRUE)-G125*_xlfn.NORM.DIST(L125,0,1,TRUE))</f>
        <v>586.44930124785992</v>
      </c>
      <c r="N125" s="3">
        <f>EXP(-E125*J125)*(G125*_xlfn.NORM.DIST(-L125,0,1,TRUE)-D125*_xlfn.NORM.DIST(-K125,0,1,TRUE))</f>
        <v>466.4527727580026</v>
      </c>
      <c r="O125" s="3" t="b">
        <f>(M125-N125)=EXP(-E125*J125)*(D125-G125)</f>
        <v>1</v>
      </c>
    </row>
    <row r="126" spans="1:15" x14ac:dyDescent="0.3">
      <c r="A126" s="1">
        <v>45987</v>
      </c>
      <c r="B126" t="s">
        <v>15</v>
      </c>
      <c r="C126">
        <v>9691.58</v>
      </c>
      <c r="D126">
        <v>9816.1283299999996</v>
      </c>
      <c r="E126" s="2">
        <v>3.5114528129678746E-2</v>
      </c>
      <c r="F126" s="1">
        <v>46374</v>
      </c>
      <c r="G126">
        <v>10176.159</v>
      </c>
      <c r="H126">
        <v>0.123153</v>
      </c>
      <c r="J126" s="3">
        <f>(F126-A126)/365</f>
        <v>1.0602739726027397</v>
      </c>
      <c r="K126" s="3">
        <f>(LN(D126/G126)+H126^2*J126/2)/(H126*SQRT(J126))</f>
        <v>-0.22064827234542606</v>
      </c>
      <c r="L126" s="3">
        <f>K126-H126*SQRT(J126)</f>
        <v>-0.3474584310206722</v>
      </c>
      <c r="M126" s="3">
        <f>EXP(-E126*J126)*(D126*_xlfn.NORM.DIST(K126,0,1,TRUE)-G126*_xlfn.NORM.DIST(L126,0,1,TRUE))</f>
        <v>332.94302262020329</v>
      </c>
      <c r="N126" s="3">
        <f>EXP(-E126*J126)*(G126*_xlfn.NORM.DIST(-L126,0,1,TRUE)-D126*_xlfn.NORM.DIST(-K126,0,1,TRUE))</f>
        <v>679.81584339489837</v>
      </c>
      <c r="O126" s="3" t="b">
        <f>(M126-N126)=EXP(-E126*J126)*(D126-G126)</f>
        <v>1</v>
      </c>
    </row>
    <row r="127" spans="1:15" x14ac:dyDescent="0.3">
      <c r="A127" s="1">
        <v>45987</v>
      </c>
      <c r="B127" t="s">
        <v>15</v>
      </c>
      <c r="C127">
        <v>9691.58</v>
      </c>
      <c r="D127">
        <v>9816.1283299999996</v>
      </c>
      <c r="E127" s="2">
        <v>3.5114528129678746E-2</v>
      </c>
      <c r="F127" s="1">
        <v>46374</v>
      </c>
      <c r="G127">
        <v>10660.738000000001</v>
      </c>
      <c r="H127">
        <v>0.113458</v>
      </c>
      <c r="J127" s="3">
        <f>(F127-A127)/365</f>
        <v>1.0602739726027397</v>
      </c>
      <c r="K127" s="3">
        <f>(LN(D127/G127)+H127^2*J127/2)/(H127*SQRT(J127))</f>
        <v>-0.64810700363318574</v>
      </c>
      <c r="L127" s="3">
        <f>K127-H127*SQRT(J127)</f>
        <v>-0.76493425902262879</v>
      </c>
      <c r="M127" s="3">
        <f>EXP(-E127*J127)*(D127*_xlfn.NORM.DIST(K127,0,1,TRUE)-G127*_xlfn.NORM.DIST(L127,0,1,TRUE))</f>
        <v>162.54973772259086</v>
      </c>
      <c r="N127" s="3">
        <f>EXP(-E127*J127)*(G127*_xlfn.NORM.DIST(-L127,0,1,TRUE)-D127*_xlfn.NORM.DIST(-K127,0,1,TRUE))</f>
        <v>976.29190776183964</v>
      </c>
      <c r="O127" s="3" t="b">
        <f>(M127-N127)=EXP(-E127*J127)*(D127-G127)</f>
        <v>1</v>
      </c>
    </row>
    <row r="128" spans="1:15" x14ac:dyDescent="0.3">
      <c r="A128" s="1">
        <v>45987</v>
      </c>
      <c r="B128" t="s">
        <v>15</v>
      </c>
      <c r="C128">
        <v>9691.58</v>
      </c>
      <c r="D128">
        <v>9816.1283299999996</v>
      </c>
      <c r="E128" s="2">
        <v>3.5114528129678746E-2</v>
      </c>
      <c r="F128" s="1">
        <v>46374</v>
      </c>
      <c r="G128">
        <v>11629.896000000001</v>
      </c>
      <c r="H128">
        <v>0.107155</v>
      </c>
      <c r="J128" s="3">
        <f>(F128-A128)/365</f>
        <v>1.0602739726027397</v>
      </c>
      <c r="K128" s="3">
        <f>(LN(D128/G128)+H128^2*J128/2)/(H128*SQRT(J128))</f>
        <v>-1.4815065416604429</v>
      </c>
      <c r="L128" s="3">
        <f>K128-H128*SQRT(J128)</f>
        <v>-1.5918436227940409</v>
      </c>
      <c r="M128" s="3">
        <f>EXP(-E128*J128)*(D128*_xlfn.NORM.DIST(K128,0,1,TRUE)-G128*_xlfn.NORM.DIST(L128,0,1,TRUE))</f>
        <v>30.567586737386009</v>
      </c>
      <c r="N128" s="3">
        <f>EXP(-E128*J128)*(G128*_xlfn.NORM.DIST(-L128,0,1,TRUE)-D128*_xlfn.NORM.DIST(-K128,0,1,TRUE))</f>
        <v>1778.0484553057408</v>
      </c>
      <c r="O128" s="3" t="b">
        <f>(M128-N128)=EXP(-E128*J128)*(D128-G128)</f>
        <v>1</v>
      </c>
    </row>
    <row r="129" spans="1:15" x14ac:dyDescent="0.3">
      <c r="A129" s="1">
        <v>45987</v>
      </c>
      <c r="B129" t="s">
        <v>15</v>
      </c>
      <c r="C129">
        <v>9691.58</v>
      </c>
      <c r="D129">
        <v>9816.1283299999996</v>
      </c>
      <c r="E129" s="2">
        <v>3.5114528129678746E-2</v>
      </c>
      <c r="F129" s="1">
        <v>46374</v>
      </c>
      <c r="G129">
        <v>12599.053999999998</v>
      </c>
      <c r="H129">
        <v>0.113138</v>
      </c>
      <c r="J129" s="3">
        <f>(F129-A129)/365</f>
        <v>1.0602739726027397</v>
      </c>
      <c r="K129" s="3">
        <f>(LN(D129/G129)+H129^2*J129/2)/(H129*SQRT(J129))</f>
        <v>-2.0842383838833829</v>
      </c>
      <c r="L129" s="3">
        <f>K129-H129*SQRT(J129)</f>
        <v>-2.2007361365341507</v>
      </c>
      <c r="M129" s="3">
        <f>EXP(-E129*J129)*(D129*_xlfn.NORM.DIST(K129,0,1,TRUE)-G129*_xlfn.NORM.DIST(L129,0,1,TRUE))</f>
        <v>7.1647681733026705</v>
      </c>
      <c r="N129" s="3">
        <f>EXP(-E129*J129)*(G129*_xlfn.NORM.DIST(-L129,0,1,TRUE)-D129*_xlfn.NORM.DIST(-K129,0,1,TRUE))</f>
        <v>2688.3843352707586</v>
      </c>
      <c r="O129" s="3" t="b">
        <f>(M129-N129)=EXP(-E129*J129)*(D129-G129)</f>
        <v>1</v>
      </c>
    </row>
    <row r="130" spans="1:15" x14ac:dyDescent="0.3">
      <c r="A130" s="1">
        <v>45987</v>
      </c>
      <c r="B130" t="s">
        <v>15</v>
      </c>
      <c r="C130">
        <v>9691.58</v>
      </c>
      <c r="D130">
        <v>9816.1283299999996</v>
      </c>
      <c r="E130" s="2">
        <v>3.5114528129678746E-2</v>
      </c>
      <c r="F130" s="1">
        <v>46374</v>
      </c>
      <c r="G130">
        <v>13568.212</v>
      </c>
      <c r="H130">
        <v>0.123043</v>
      </c>
      <c r="J130" s="3">
        <f>(F130-A130)/365</f>
        <v>1.0602739726027397</v>
      </c>
      <c r="K130" s="3">
        <f>(LN(D130/G130)+H130^2*J130/2)/(H130*SQRT(J130))</f>
        <v>-2.4915912818506616</v>
      </c>
      <c r="L130" s="3">
        <f>K130-H130*SQRT(J130)</f>
        <v>-2.6182881739594879</v>
      </c>
      <c r="M130" s="3">
        <f>EXP(-E130*J130)*(D130*_xlfn.NORM.DIST(K130,0,1,TRUE)-G130*_xlfn.NORM.DIST(L130,0,1,TRUE))</f>
        <v>2.374312681941102</v>
      </c>
      <c r="N130" s="3">
        <f>EXP(-E130*J130)*(G130*_xlfn.NORM.DIST(-L130,0,1,TRUE)-D130*_xlfn.NORM.DIST(-K130,0,1,TRUE))</f>
        <v>3617.3325783085038</v>
      </c>
      <c r="O130" s="3" t="b">
        <f>(M130-N130)=EXP(-E130*J130)*(D130-G130)</f>
        <v>1</v>
      </c>
    </row>
    <row r="131" spans="1:15" x14ac:dyDescent="0.3">
      <c r="A131" s="1">
        <v>45987</v>
      </c>
      <c r="B131" t="s">
        <v>15</v>
      </c>
      <c r="C131">
        <v>9691.58</v>
      </c>
      <c r="D131">
        <v>9816.1283299999996</v>
      </c>
      <c r="E131" s="2">
        <v>3.5114528129678746E-2</v>
      </c>
      <c r="F131" s="1">
        <v>46374</v>
      </c>
      <c r="G131">
        <v>14537.37</v>
      </c>
      <c r="H131">
        <v>0.133685</v>
      </c>
      <c r="J131" s="3">
        <f>(F131-A131)/365</f>
        <v>1.0602739726027397</v>
      </c>
      <c r="K131" s="3">
        <f>(LN(D131/G131)+H131^2*J131/2)/(H131*SQRT(J131))</f>
        <v>-2.7839278331708921</v>
      </c>
      <c r="L131" s="3">
        <f>K131-H131*SQRT(J131)</f>
        <v>-2.9215827507327887</v>
      </c>
      <c r="M131" s="3">
        <f>EXP(-E131*J131)*(D131*_xlfn.NORM.DIST(K131,0,1,TRUE)-G131*_xlfn.NORM.DIST(L131,0,1,TRUE))</f>
        <v>1.0068003409727186</v>
      </c>
      <c r="N131" s="3">
        <f>EXP(-E131*J131)*(G131*_xlfn.NORM.DIST(-L131,0,1,TRUE)-D131*_xlfn.NORM.DIST(-K131,0,1,TRUE))</f>
        <v>4549.7037644966413</v>
      </c>
      <c r="O131" s="3" t="b">
        <f>(M131-N131)=EXP(-E131*J131)*(D131-G131)</f>
        <v>1</v>
      </c>
    </row>
    <row r="132" spans="1:15" x14ac:dyDescent="0.3">
      <c r="A132" s="1">
        <v>45987</v>
      </c>
      <c r="B132" t="s">
        <v>15</v>
      </c>
      <c r="C132">
        <v>9691.58</v>
      </c>
      <c r="D132">
        <v>9834.8460099999993</v>
      </c>
      <c r="E132" s="2">
        <v>3.4522683798205382E-2</v>
      </c>
      <c r="F132" s="1">
        <v>46556</v>
      </c>
      <c r="G132">
        <v>4845.79</v>
      </c>
      <c r="H132">
        <v>0.28717799999999999</v>
      </c>
      <c r="J132" s="3">
        <f>(F132-A132)/365</f>
        <v>1.558904109589041</v>
      </c>
      <c r="K132" s="3">
        <f>(LN(D132/G132)+H132^2*J132/2)/(H132*SQRT(J132))</f>
        <v>2.1533511383331261</v>
      </c>
      <c r="L132" s="3">
        <f>K132-H132*SQRT(J132)</f>
        <v>1.7947919405069617</v>
      </c>
      <c r="M132" s="3">
        <f>EXP(-E132*J132)*(D132*_xlfn.NORM.DIST(K132,0,1,TRUE)-G132*_xlfn.NORM.DIST(L132,0,1,TRUE))</f>
        <v>4748.7300676451478</v>
      </c>
      <c r="N132" s="3">
        <f>EXP(-E132*J132)*(G132*_xlfn.NORM.DIST(-L132,0,1,TRUE)-D132*_xlfn.NORM.DIST(-K132,0,1,TRUE))</f>
        <v>21.075758027819493</v>
      </c>
      <c r="O132" s="3" t="b">
        <f>(M132-N132)=EXP(-E132*J132)*(D132-G132)</f>
        <v>1</v>
      </c>
    </row>
    <row r="133" spans="1:15" x14ac:dyDescent="0.3">
      <c r="A133" s="1">
        <v>45987</v>
      </c>
      <c r="B133" t="s">
        <v>15</v>
      </c>
      <c r="C133">
        <v>9691.58</v>
      </c>
      <c r="D133">
        <v>9834.8460099999993</v>
      </c>
      <c r="E133" s="2">
        <v>3.4522683798205382E-2</v>
      </c>
      <c r="F133" s="1">
        <v>46556</v>
      </c>
      <c r="G133">
        <v>5814.9480000000003</v>
      </c>
      <c r="H133">
        <v>0.25122299999999997</v>
      </c>
      <c r="J133" s="3">
        <f>(F133-A133)/365</f>
        <v>1.558904109589041</v>
      </c>
      <c r="K133" s="3">
        <f>(LN(D133/G133)+H133^2*J133/2)/(H133*SQRT(J133))</f>
        <v>1.8321760023364599</v>
      </c>
      <c r="L133" s="3">
        <f>K133-H133*SQRT(J133)</f>
        <v>1.5185088086256517</v>
      </c>
      <c r="M133" s="3">
        <f>EXP(-E133*J133)*(D133*_xlfn.NORM.DIST(K133,0,1,TRUE)-G133*_xlfn.NORM.DIST(L133,0,1,TRUE))</f>
        <v>3852.5180729243907</v>
      </c>
      <c r="N133" s="3">
        <f>EXP(-E133*J133)*(G133*_xlfn.NORM.DIST(-L133,0,1,TRUE)-D133*_xlfn.NORM.DIST(-K133,0,1,TRUE))</f>
        <v>43.242708385313762</v>
      </c>
      <c r="O133" s="3" t="b">
        <f>(M133-N133)=EXP(-E133*J133)*(D133-G133)</f>
        <v>1</v>
      </c>
    </row>
    <row r="134" spans="1:15" x14ac:dyDescent="0.3">
      <c r="A134" s="1">
        <v>45987</v>
      </c>
      <c r="B134" t="s">
        <v>15</v>
      </c>
      <c r="C134">
        <v>9691.58</v>
      </c>
      <c r="D134">
        <v>9834.8460099999993</v>
      </c>
      <c r="E134" s="2">
        <v>3.4522683798205382E-2</v>
      </c>
      <c r="F134" s="1">
        <v>46556</v>
      </c>
      <c r="G134">
        <v>6784.1059999999998</v>
      </c>
      <c r="H134">
        <v>0.21931600000000001</v>
      </c>
      <c r="J134" s="3">
        <f>(F134-A134)/365</f>
        <v>1.558904109589041</v>
      </c>
      <c r="K134" s="3">
        <f>(LN(D134/G134)+H134^2*J134/2)/(H134*SQRT(J134))</f>
        <v>1.4930485379654763</v>
      </c>
      <c r="L134" s="3">
        <f>K134-H134*SQRT(J134)</f>
        <v>1.2192191741895497</v>
      </c>
      <c r="M134" s="3">
        <f>EXP(-E134*J134)*(D134*_xlfn.NORM.DIST(K134,0,1,TRUE)-G134*_xlfn.NORM.DIST(L134,0,1,TRUE))</f>
        <v>2975.8754645314789</v>
      </c>
      <c r="N134" s="3">
        <f>EXP(-E134*J134)*(G134*_xlfn.NORM.DIST(-L134,0,1,TRUE)-D134*_xlfn.NORM.DIST(-K134,0,1,TRUE))</f>
        <v>84.979045070653754</v>
      </c>
      <c r="O134" s="3" t="b">
        <f>(M134-N134)=EXP(-E134*J134)*(D134-G134)</f>
        <v>1</v>
      </c>
    </row>
    <row r="135" spans="1:15" x14ac:dyDescent="0.3">
      <c r="A135" s="1">
        <v>45987</v>
      </c>
      <c r="B135" t="s">
        <v>15</v>
      </c>
      <c r="C135">
        <v>9691.58</v>
      </c>
      <c r="D135">
        <v>9834.8460099999993</v>
      </c>
      <c r="E135" s="2">
        <v>3.4522683798205382E-2</v>
      </c>
      <c r="F135" s="1">
        <v>46556</v>
      </c>
      <c r="G135">
        <v>7753.2640000000001</v>
      </c>
      <c r="H135">
        <v>0.19034799999999999</v>
      </c>
      <c r="J135" s="3">
        <f>(F135-A135)/365</f>
        <v>1.558904109589041</v>
      </c>
      <c r="K135" s="3">
        <f>(LN(D135/G135)+H135^2*J135/2)/(H135*SQRT(J135))</f>
        <v>1.1194903924232991</v>
      </c>
      <c r="L135" s="3">
        <f>K135-H135*SQRT(J135)</f>
        <v>0.88182933834598565</v>
      </c>
      <c r="M135" s="3">
        <f>EXP(-E135*J135)*(D135*_xlfn.NORM.DIST(K135,0,1,TRUE)-G135*_xlfn.NORM.DIST(L135,0,1,TRUE))</f>
        <v>2135.4264747290904</v>
      </c>
      <c r="N135" s="3">
        <f>EXP(-E135*J135)*(G135*_xlfn.NORM.DIST(-L135,0,1,TRUE)-D135*_xlfn.NORM.DIST(-K135,0,1,TRUE))</f>
        <v>162.90900034651807</v>
      </c>
      <c r="O135" s="3" t="b">
        <f>(M135-N135)=EXP(-E135*J135)*(D135-G135)</f>
        <v>1</v>
      </c>
    </row>
    <row r="136" spans="1:15" x14ac:dyDescent="0.3">
      <c r="A136" s="1">
        <v>45987</v>
      </c>
      <c r="B136" t="s">
        <v>15</v>
      </c>
      <c r="C136">
        <v>9691.58</v>
      </c>
      <c r="D136">
        <v>9834.8460099999993</v>
      </c>
      <c r="E136" s="2">
        <v>3.4522683798205382E-2</v>
      </c>
      <c r="F136" s="1">
        <v>46556</v>
      </c>
      <c r="G136">
        <v>8722.4219999999987</v>
      </c>
      <c r="H136">
        <v>0.16375799999999999</v>
      </c>
      <c r="J136" s="3">
        <f>(F136-A136)/365</f>
        <v>1.558904109589041</v>
      </c>
      <c r="K136" s="3">
        <f>(LN(D136/G136)+H136^2*J136/2)/(H136*SQRT(J136))</f>
        <v>0.68930795820039881</v>
      </c>
      <c r="L136" s="3">
        <f>K136-H136*SQRT(J136)</f>
        <v>0.48484613620283279</v>
      </c>
      <c r="M136" s="3">
        <f>EXP(-E136*J136)*(D136*_xlfn.NORM.DIST(K136,0,1,TRUE)-G136*_xlfn.NORM.DIST(L136,0,1,TRUE))</f>
        <v>1362.3681350235961</v>
      </c>
      <c r="N136" s="3">
        <f>EXP(-E136*J136)*(G136*_xlfn.NORM.DIST(-L136,0,1,TRUE)-D136*_xlfn.NORM.DIST(-K136,0,1,TRUE))</f>
        <v>308.22960571927263</v>
      </c>
      <c r="O136" s="3" t="b">
        <f>(M136-N136)=EXP(-E136*J136)*(D136-G136)</f>
        <v>1</v>
      </c>
    </row>
    <row r="137" spans="1:15" x14ac:dyDescent="0.3">
      <c r="A137" s="1">
        <v>45987</v>
      </c>
      <c r="B137" t="s">
        <v>15</v>
      </c>
      <c r="C137">
        <v>9691.58</v>
      </c>
      <c r="D137">
        <v>9834.8460099999993</v>
      </c>
      <c r="E137" s="2">
        <v>3.4522683798205382E-2</v>
      </c>
      <c r="F137" s="1">
        <v>46556</v>
      </c>
      <c r="G137">
        <v>9207.0010000000002</v>
      </c>
      <c r="H137">
        <v>0.15135599999999999</v>
      </c>
      <c r="J137" s="3">
        <f>(F137-A137)/365</f>
        <v>1.558904109589041</v>
      </c>
      <c r="K137" s="3">
        <f>(LN(D137/G137)+H137^2*J137/2)/(H137*SQRT(J137))</f>
        <v>0.44356578442338629</v>
      </c>
      <c r="L137" s="3">
        <f>K137-H137*SQRT(J137)</f>
        <v>0.25458861365760016</v>
      </c>
      <c r="M137" s="3">
        <f>EXP(-E137*J137)*(D137*_xlfn.NORM.DIST(K137,0,1,TRUE)-G137*_xlfn.NORM.DIST(L137,0,1,TRUE))</f>
        <v>1017.4716768596404</v>
      </c>
      <c r="N137" s="3">
        <f>EXP(-E137*J137)*(G137*_xlfn.NORM.DIST(-L137,0,1,TRUE)-D137*_xlfn.NORM.DIST(-K137,0,1,TRUE))</f>
        <v>422.52262009444473</v>
      </c>
      <c r="O137" s="3" t="b">
        <f>(M137-N137)=EXP(-E137*J137)*(D137-G137)</f>
        <v>1</v>
      </c>
    </row>
    <row r="138" spans="1:15" x14ac:dyDescent="0.3">
      <c r="A138" s="1">
        <v>45987</v>
      </c>
      <c r="B138" t="s">
        <v>15</v>
      </c>
      <c r="C138">
        <v>9691.58</v>
      </c>
      <c r="D138">
        <v>9834.8460099999993</v>
      </c>
      <c r="E138" s="2">
        <v>3.4522683798205382E-2</v>
      </c>
      <c r="F138" s="1">
        <v>46556</v>
      </c>
      <c r="G138">
        <v>9691.58</v>
      </c>
      <c r="H138">
        <v>0.13969000000000001</v>
      </c>
      <c r="J138" s="3">
        <f>(F138-A138)/365</f>
        <v>1.558904109589041</v>
      </c>
      <c r="K138" s="3">
        <f>(LN(D138/G138)+H138^2*J138/2)/(H138*SQRT(J138))</f>
        <v>0.17134198496208594</v>
      </c>
      <c r="L138" s="3">
        <f>K138-H138*SQRT(J138)</f>
        <v>-3.0694753320065771E-3</v>
      </c>
      <c r="M138" s="3">
        <f>EXP(-E138*J138)*(D138*_xlfn.NORM.DIST(K138,0,1,TRUE)-G138*_xlfn.NORM.DIST(L138,0,1,TRUE))</f>
        <v>713.06535712784546</v>
      </c>
      <c r="N138" s="3">
        <f>EXP(-E138*J138)*(G138*_xlfn.NORM.DIST(-L138,0,1,TRUE)-D138*_xlfn.NORM.DIST(-K138,0,1,TRUE))</f>
        <v>577.30577290177621</v>
      </c>
      <c r="O138" s="3" t="b">
        <f>(M138-N138)=EXP(-E138*J138)*(D138-G138)</f>
        <v>0</v>
      </c>
    </row>
    <row r="139" spans="1:15" x14ac:dyDescent="0.3">
      <c r="A139" s="1">
        <v>45987</v>
      </c>
      <c r="B139" t="s">
        <v>15</v>
      </c>
      <c r="C139">
        <v>9691.58</v>
      </c>
      <c r="D139">
        <v>9834.8460099999993</v>
      </c>
      <c r="E139" s="2">
        <v>3.4522683798205382E-2</v>
      </c>
      <c r="F139" s="1">
        <v>46556</v>
      </c>
      <c r="G139">
        <v>10176.159</v>
      </c>
      <c r="H139">
        <v>0.129024</v>
      </c>
      <c r="J139" s="3">
        <f>(F139-A139)/365</f>
        <v>1.558904109589041</v>
      </c>
      <c r="K139" s="3">
        <f>(LN(D139/G139)+H139^2*J139/2)/(H139*SQRT(J139))</f>
        <v>-0.13122840005865444</v>
      </c>
      <c r="L139" s="3">
        <f>K139-H139*SQRT(J139)</f>
        <v>-0.29232271069638793</v>
      </c>
      <c r="M139" s="3">
        <f>EXP(-E139*J139)*(D139*_xlfn.NORM.DIST(K139,0,1,TRUE)-G139*_xlfn.NORM.DIST(L139,0,1,TRUE))</f>
        <v>460.52979154911708</v>
      </c>
      <c r="N139" s="3">
        <f>EXP(-E139*J139)*(G139*_xlfn.NORM.DIST(-L139,0,1,TRUE)-D139*_xlfn.NORM.DIST(-K139,0,1,TRUE))</f>
        <v>783.95967986217249</v>
      </c>
      <c r="O139" s="3" t="b">
        <f>(M139-N139)=EXP(-E139*J139)*(D139-G139)</f>
        <v>1</v>
      </c>
    </row>
    <row r="140" spans="1:15" x14ac:dyDescent="0.3">
      <c r="A140" s="1">
        <v>45987</v>
      </c>
      <c r="B140" t="s">
        <v>15</v>
      </c>
      <c r="C140">
        <v>9691.58</v>
      </c>
      <c r="D140">
        <v>9834.8460099999993</v>
      </c>
      <c r="E140" s="2">
        <v>3.4522683798205382E-2</v>
      </c>
      <c r="F140" s="1">
        <v>46556</v>
      </c>
      <c r="G140">
        <v>10660.738000000001</v>
      </c>
      <c r="H140">
        <v>0.119811</v>
      </c>
      <c r="J140" s="3">
        <f>(F140-A140)/365</f>
        <v>1.558904109589041</v>
      </c>
      <c r="K140" s="3">
        <f>(LN(D140/G140)+H140^2*J140/2)/(H140*SQRT(J140))</f>
        <v>-0.46424532735711854</v>
      </c>
      <c r="L140" s="3">
        <f>K140-H140*SQRT(J140)</f>
        <v>-0.61383664720317421</v>
      </c>
      <c r="M140" s="3">
        <f>EXP(-E140*J140)*(D140*_xlfn.NORM.DIST(K140,0,1,TRUE)-G140*_xlfn.NORM.DIST(L140,0,1,TRUE))</f>
        <v>269.60731933060839</v>
      </c>
      <c r="N140" s="3">
        <f>EXP(-E140*J140)*(G140*_xlfn.NORM.DIST(-L140,0,1,TRUE)-D140*_xlfn.NORM.DIST(-K140,0,1,TRUE))</f>
        <v>1052.2266801827916</v>
      </c>
      <c r="O140" s="3" t="b">
        <f>(M140-N140)=EXP(-E140*J140)*(D140-G140)</f>
        <v>1</v>
      </c>
    </row>
    <row r="141" spans="1:15" x14ac:dyDescent="0.3">
      <c r="A141" s="1">
        <v>45987</v>
      </c>
      <c r="B141" t="s">
        <v>15</v>
      </c>
      <c r="C141">
        <v>9691.58</v>
      </c>
      <c r="D141">
        <v>9834.8460099999993</v>
      </c>
      <c r="E141" s="2">
        <v>3.4522683798205382E-2</v>
      </c>
      <c r="F141" s="1">
        <v>46556</v>
      </c>
      <c r="G141">
        <v>11629.896000000001</v>
      </c>
      <c r="H141">
        <v>0.10803699999999999</v>
      </c>
      <c r="J141" s="3">
        <f>(F141-A141)/365</f>
        <v>1.558904109589041</v>
      </c>
      <c r="K141" s="3">
        <f>(LN(D141/G141)+H141^2*J141/2)/(H141*SQRT(J141))</f>
        <v>-1.1753915899330767</v>
      </c>
      <c r="L141" s="3">
        <f>K141-H141*SQRT(J141)</f>
        <v>-1.3102823547393827</v>
      </c>
      <c r="M141" s="3">
        <f>EXP(-E141*J141)*(D141*_xlfn.NORM.DIST(K141,0,1,TRUE)-G141*_xlfn.NORM.DIST(L141,0,1,TRUE))</f>
        <v>70.08653641299999</v>
      </c>
      <c r="N141" s="3">
        <f>EXP(-E141*J141)*(G141*_xlfn.NORM.DIST(-L141,0,1,TRUE)-D141*_xlfn.NORM.DIST(-K141,0,1,TRUE))</f>
        <v>1771.0848423434327</v>
      </c>
      <c r="O141" s="3" t="b">
        <f>(M141-N141)=EXP(-E141*J141)*(D141-G141)</f>
        <v>1</v>
      </c>
    </row>
    <row r="142" spans="1:15" x14ac:dyDescent="0.3">
      <c r="A142" s="1">
        <v>45987</v>
      </c>
      <c r="B142" t="s">
        <v>15</v>
      </c>
      <c r="C142">
        <v>9691.58</v>
      </c>
      <c r="D142">
        <v>9834.8460099999993</v>
      </c>
      <c r="E142" s="2">
        <v>3.4522683798205382E-2</v>
      </c>
      <c r="F142" s="1">
        <v>46556</v>
      </c>
      <c r="G142">
        <v>12599.053999999998</v>
      </c>
      <c r="H142">
        <v>0.106019</v>
      </c>
      <c r="J142" s="3">
        <f>(F142-A142)/365</f>
        <v>1.558904109589041</v>
      </c>
      <c r="K142" s="3">
        <f>(LN(D142/G142)+H142^2*J142/2)/(H142*SQRT(J142))</f>
        <v>-1.8049917958604755</v>
      </c>
      <c r="L142" s="3">
        <f>K142-H142*SQRT(J142)</f>
        <v>-1.9373629649414361</v>
      </c>
      <c r="M142" s="3">
        <f>EXP(-E142*J142)*(D142*_xlfn.NORM.DIST(K142,0,1,TRUE)-G142*_xlfn.NORM.DIST(L142,0,1,TRUE))</f>
        <v>16.601354517349979</v>
      </c>
      <c r="N142" s="3">
        <f>EXP(-E142*J142)*(G142*_xlfn.NORM.DIST(-L142,0,1,TRUE)-D142*_xlfn.NORM.DIST(-K142,0,1,TRUE))</f>
        <v>2635.9786055260333</v>
      </c>
      <c r="O142" s="3" t="b">
        <f>(M142-N142)=EXP(-E142*J142)*(D142-G142)</f>
        <v>1</v>
      </c>
    </row>
    <row r="143" spans="1:15" x14ac:dyDescent="0.3">
      <c r="A143" s="1">
        <v>45987</v>
      </c>
      <c r="B143" t="s">
        <v>15</v>
      </c>
      <c r="C143">
        <v>9691.58</v>
      </c>
      <c r="D143">
        <v>9834.8460099999993</v>
      </c>
      <c r="E143" s="2">
        <v>3.4522683798205382E-2</v>
      </c>
      <c r="F143" s="1">
        <v>46556</v>
      </c>
      <c r="G143">
        <v>13568.212</v>
      </c>
      <c r="H143">
        <v>0.109886</v>
      </c>
      <c r="J143" s="3">
        <f>(F143-A143)/365</f>
        <v>1.558904109589041</v>
      </c>
      <c r="K143" s="3">
        <f>(LN(D143/G143)+H143^2*J143/2)/(H143*SQRT(J143))</f>
        <v>-2.2768771839876076</v>
      </c>
      <c r="L143" s="3">
        <f>K143-H143*SQRT(J143)</f>
        <v>-2.414076537741467</v>
      </c>
      <c r="M143" s="3">
        <f>EXP(-E143*J143)*(D143*_xlfn.NORM.DIST(K143,0,1,TRUE)-G143*_xlfn.NORM.DIST(L143,0,1,TRUE))</f>
        <v>4.7999056322082021</v>
      </c>
      <c r="N143" s="3">
        <f>EXP(-E143*J143)*(G143*_xlfn.NORM.DIST(-L143,0,1,TRUE)-D143*_xlfn.NORM.DIST(-K143,0,1,TRUE))</f>
        <v>3542.556101719143</v>
      </c>
      <c r="O143" s="3" t="b">
        <f>(M143-N143)=EXP(-E143*J143)*(D143-G143)</f>
        <v>0</v>
      </c>
    </row>
    <row r="144" spans="1:15" x14ac:dyDescent="0.3">
      <c r="A144" s="1">
        <v>45987</v>
      </c>
      <c r="B144" t="s">
        <v>15</v>
      </c>
      <c r="C144">
        <v>9691.58</v>
      </c>
      <c r="D144">
        <v>9834.8460099999993</v>
      </c>
      <c r="E144" s="2">
        <v>3.4522683798205382E-2</v>
      </c>
      <c r="F144" s="1">
        <v>46556</v>
      </c>
      <c r="G144">
        <v>14537.37</v>
      </c>
      <c r="H144">
        <v>0.116062</v>
      </c>
      <c r="J144" s="3">
        <f>(F144-A144)/365</f>
        <v>1.558904109589041</v>
      </c>
      <c r="K144" s="3">
        <f>(LN(D144/G144)+H144^2*J144/2)/(H144*SQRT(J144))</f>
        <v>-2.6243188070748666</v>
      </c>
      <c r="L144" s="3">
        <f>K144-H144*SQRT(J144)</f>
        <v>-2.7692292724242327</v>
      </c>
      <c r="M144" s="3">
        <f>EXP(-E144*J144)*(D144*_xlfn.NORM.DIST(K144,0,1,TRUE)-G144*_xlfn.NORM.DIST(L144,0,1,TRUE))</f>
        <v>1.7551647846288099</v>
      </c>
      <c r="N144" s="3">
        <f>EXP(-E144*J144)*(G144*_xlfn.NORM.DIST(-L144,0,1,TRUE)-D144*_xlfn.NORM.DIST(-K144,0,1,TRUE))</f>
        <v>4457.8903059498161</v>
      </c>
      <c r="O144" s="3" t="b">
        <f>(M144-N144)=EXP(-E144*J144)*(D144-G144)</f>
        <v>1</v>
      </c>
    </row>
    <row r="145" spans="1:15" x14ac:dyDescent="0.3">
      <c r="A145" s="1">
        <v>45987</v>
      </c>
      <c r="B145" t="s">
        <v>15</v>
      </c>
      <c r="C145">
        <v>9691.58</v>
      </c>
      <c r="D145">
        <v>9907.1503499999999</v>
      </c>
      <c r="E145" s="2">
        <v>3.4372194182787669E-2</v>
      </c>
      <c r="F145" s="1">
        <v>46738</v>
      </c>
      <c r="G145">
        <v>4845.79</v>
      </c>
      <c r="H145">
        <v>0.27400200000000002</v>
      </c>
      <c r="J145" s="3">
        <f>(F145-A145)/365</f>
        <v>2.0575342465753423</v>
      </c>
      <c r="K145" s="3">
        <f>(LN(D145/G145)+H145^2*J145/2)/(H145*SQRT(J145))</f>
        <v>2.0160813549550052</v>
      </c>
      <c r="L145" s="3">
        <f>K145-H145*SQRT(J145)</f>
        <v>1.6230499361579136</v>
      </c>
      <c r="M145" s="3">
        <f>EXP(-E145*J145)*(D145*_xlfn.NORM.DIST(K145,0,1,TRUE)-G145*_xlfn.NORM.DIST(L145,0,1,TRUE))</f>
        <v>4749.7448124710945</v>
      </c>
      <c r="N145" s="3">
        <f>EXP(-E145*J145)*(G145*_xlfn.NORM.DIST(-L145,0,1,TRUE)-D145*_xlfn.NORM.DIST(-K145,0,1,TRUE))</f>
        <v>33.969563636031914</v>
      </c>
      <c r="O145" s="3" t="b">
        <f>(M145-N145)=EXP(-E145*J145)*(D145-G145)</f>
        <v>1</v>
      </c>
    </row>
    <row r="146" spans="1:15" x14ac:dyDescent="0.3">
      <c r="A146" s="1">
        <v>45987</v>
      </c>
      <c r="B146" t="s">
        <v>15</v>
      </c>
      <c r="C146">
        <v>9691.58</v>
      </c>
      <c r="D146">
        <v>9907.1503499999999</v>
      </c>
      <c r="E146" s="2">
        <v>3.4372194182787669E-2</v>
      </c>
      <c r="F146" s="1">
        <v>46738</v>
      </c>
      <c r="G146">
        <v>5814.9480000000003</v>
      </c>
      <c r="H146">
        <v>0.2414</v>
      </c>
      <c r="J146" s="3">
        <f>(F146-A146)/365</f>
        <v>2.0575342465753423</v>
      </c>
      <c r="K146" s="3">
        <f>(LN(D146/G146)+H146^2*J146/2)/(H146*SQRT(J146))</f>
        <v>1.7119034076187443</v>
      </c>
      <c r="L146" s="3">
        <f>K146-H146*SQRT(J146)</f>
        <v>1.3656366486256788</v>
      </c>
      <c r="M146" s="3">
        <f>EXP(-E146*J146)*(D146*_xlfn.NORM.DIST(K146,0,1,TRUE)-G146*_xlfn.NORM.DIST(L146,0,1,TRUE))</f>
        <v>3877.733634210038</v>
      </c>
      <c r="N146" s="3">
        <f>EXP(-E146*J146)*(G146*_xlfn.NORM.DIST(-L146,0,1,TRUE)-D146*_xlfn.NORM.DIST(-K146,0,1,TRUE))</f>
        <v>64.943154797782753</v>
      </c>
      <c r="O146" s="3" t="b">
        <f>(M146-N146)=EXP(-E146*J146)*(D146-G146)</f>
        <v>1</v>
      </c>
    </row>
    <row r="147" spans="1:15" x14ac:dyDescent="0.3">
      <c r="A147" s="1">
        <v>45987</v>
      </c>
      <c r="B147" t="s">
        <v>15</v>
      </c>
      <c r="C147">
        <v>9691.58</v>
      </c>
      <c r="D147">
        <v>9907.1503499999999</v>
      </c>
      <c r="E147" s="2">
        <v>3.4372194182787669E-2</v>
      </c>
      <c r="F147" s="1">
        <v>46738</v>
      </c>
      <c r="G147">
        <v>6784.1059999999998</v>
      </c>
      <c r="H147">
        <v>0.21262200000000001</v>
      </c>
      <c r="J147" s="3">
        <f>(F147-A147)/365</f>
        <v>2.0575342465753423</v>
      </c>
      <c r="K147" s="3">
        <f>(LN(D147/G147)+H147^2*J147/2)/(H147*SQRT(J147))</f>
        <v>1.3941002543995196</v>
      </c>
      <c r="L147" s="3">
        <f>K147-H147*SQRT(J147)</f>
        <v>1.0891129684400185</v>
      </c>
      <c r="M147" s="3">
        <f>EXP(-E147*J147)*(D147*_xlfn.NORM.DIST(K147,0,1,TRUE)-G147*_xlfn.NORM.DIST(L147,0,1,TRUE))</f>
        <v>3028.789794690641</v>
      </c>
      <c r="N147" s="3">
        <f>EXP(-E147*J147)*(G147*_xlfn.NORM.DIST(-L147,0,1,TRUE)-D147*_xlfn.NORM.DIST(-K147,0,1,TRUE))</f>
        <v>118.98408470119416</v>
      </c>
      <c r="O147" s="3" t="b">
        <f>(M147-N147)=EXP(-E147*J147)*(D147-G147)</f>
        <v>1</v>
      </c>
    </row>
    <row r="148" spans="1:15" x14ac:dyDescent="0.3">
      <c r="A148" s="1">
        <v>45987</v>
      </c>
      <c r="B148" t="s">
        <v>15</v>
      </c>
      <c r="C148">
        <v>9691.58</v>
      </c>
      <c r="D148">
        <v>9907.1503499999999</v>
      </c>
      <c r="E148" s="2">
        <v>3.4372194182787669E-2</v>
      </c>
      <c r="F148" s="1">
        <v>46738</v>
      </c>
      <c r="G148">
        <v>7753.2640000000001</v>
      </c>
      <c r="H148">
        <v>0.18670100000000001</v>
      </c>
      <c r="J148" s="3">
        <f>(F148-A148)/365</f>
        <v>2.0575342465753423</v>
      </c>
      <c r="K148" s="3">
        <f>(LN(D148/G148)+H148^2*J148/2)/(H148*SQRT(J148))</f>
        <v>1.0492779245138071</v>
      </c>
      <c r="L148" s="3">
        <f>K148-H148*SQRT(J148)</f>
        <v>0.78147200002845374</v>
      </c>
      <c r="M148" s="3">
        <f>EXP(-E148*J148)*(D148*_xlfn.NORM.DIST(K148,0,1,TRUE)-G148*_xlfn.NORM.DIST(L148,0,1,TRUE))</f>
        <v>2219.1539824112074</v>
      </c>
      <c r="N148" s="3">
        <f>EXP(-E148*J148)*(G148*_xlfn.NORM.DIST(-L148,0,1,TRUE)-D148*_xlfn.NORM.DIST(-K148,0,1,TRUE))</f>
        <v>212.33304184456793</v>
      </c>
      <c r="O148" s="3" t="b">
        <f>(M148-N148)=EXP(-E148*J148)*(D148-G148)</f>
        <v>1</v>
      </c>
    </row>
    <row r="149" spans="1:15" x14ac:dyDescent="0.3">
      <c r="A149" s="1">
        <v>45987</v>
      </c>
      <c r="B149" t="s">
        <v>15</v>
      </c>
      <c r="C149">
        <v>9691.58</v>
      </c>
      <c r="D149">
        <v>9907.1503499999999</v>
      </c>
      <c r="E149" s="2">
        <v>3.4372194182787669E-2</v>
      </c>
      <c r="F149" s="1">
        <v>46738</v>
      </c>
      <c r="G149">
        <v>8722.4219999999987</v>
      </c>
      <c r="H149">
        <v>0.16319400000000001</v>
      </c>
      <c r="J149" s="3">
        <f>(F149-A149)/365</f>
        <v>2.0575342465753423</v>
      </c>
      <c r="K149" s="3">
        <f>(LN(D149/G149)+H149^2*J149/2)/(H149*SQRT(J149))</f>
        <v>0.6611134564376604</v>
      </c>
      <c r="L149" s="3">
        <f>K149-H149*SQRT(J149)</f>
        <v>0.42702622583652405</v>
      </c>
      <c r="M149" s="3">
        <f>EXP(-E149*J149)*(D149*_xlfn.NORM.DIST(K149,0,1,TRUE)-G149*_xlfn.NORM.DIST(L149,0,1,TRUE))</f>
        <v>1476.6477616238531</v>
      </c>
      <c r="N149" s="3">
        <f>EXP(-E149*J149)*(G149*_xlfn.NORM.DIST(-L149,0,1,TRUE)-D149*_xlfn.NORM.DIST(-K149,0,1,TRUE))</f>
        <v>372.81159048002098</v>
      </c>
      <c r="O149" s="3" t="b">
        <f>(M149-N149)=EXP(-E149*J149)*(D149-G149)</f>
        <v>1</v>
      </c>
    </row>
    <row r="150" spans="1:15" x14ac:dyDescent="0.3">
      <c r="A150" s="1">
        <v>45987</v>
      </c>
      <c r="B150" t="s">
        <v>15</v>
      </c>
      <c r="C150">
        <v>9691.58</v>
      </c>
      <c r="D150">
        <v>9907.1503499999999</v>
      </c>
      <c r="E150" s="2">
        <v>3.4372194182787669E-2</v>
      </c>
      <c r="F150" s="1">
        <v>46738</v>
      </c>
      <c r="G150">
        <v>9207.0010000000002</v>
      </c>
      <c r="H150">
        <v>0.152364</v>
      </c>
      <c r="J150" s="3">
        <f>(F150-A150)/365</f>
        <v>2.0575342465753423</v>
      </c>
      <c r="K150" s="3">
        <f>(LN(D150/G150)+H150^2*J150/2)/(H150*SQRT(J150))</f>
        <v>0.44463076243002508</v>
      </c>
      <c r="L150" s="3">
        <f>K150-H150*SQRT(J150)</f>
        <v>0.22607820042828766</v>
      </c>
      <c r="M150" s="3">
        <f>EXP(-E150*J150)*(D150*_xlfn.NORM.DIST(K150,0,1,TRUE)-G150*_xlfn.NORM.DIST(L150,0,1,TRUE))</f>
        <v>1143.9849702470042</v>
      </c>
      <c r="N150" s="3">
        <f>EXP(-E150*J150)*(G150*_xlfn.NORM.DIST(-L150,0,1,TRUE)-D150*_xlfn.NORM.DIST(-K150,0,1,TRUE))</f>
        <v>491.64118381457627</v>
      </c>
      <c r="O150" s="3" t="b">
        <f>(M150-N150)=EXP(-E150*J150)*(D150-G150)</f>
        <v>0</v>
      </c>
    </row>
    <row r="151" spans="1:15" x14ac:dyDescent="0.3">
      <c r="A151" s="1">
        <v>45987</v>
      </c>
      <c r="B151" t="s">
        <v>15</v>
      </c>
      <c r="C151">
        <v>9691.58</v>
      </c>
      <c r="D151">
        <v>9907.1503499999999</v>
      </c>
      <c r="E151" s="2">
        <v>3.4372194182787669E-2</v>
      </c>
      <c r="F151" s="1">
        <v>46738</v>
      </c>
      <c r="G151">
        <v>9691.58</v>
      </c>
      <c r="H151">
        <v>0.142266</v>
      </c>
      <c r="J151" s="3">
        <f>(F151-A151)/365</f>
        <v>2.0575342465753423</v>
      </c>
      <c r="K151" s="3">
        <f>(LN(D151/G151)+H151^2*J151/2)/(H151*SQRT(J151))</f>
        <v>0.20983770948854202</v>
      </c>
      <c r="L151" s="3">
        <f>K151-H151*SQRT(J151)</f>
        <v>5.7698274052468967E-3</v>
      </c>
      <c r="M151" s="3">
        <f>EXP(-E151*J151)*(D151*_xlfn.NORM.DIST(K151,0,1,TRUE)-G151*_xlfn.NORM.DIST(L151,0,1,TRUE))</f>
        <v>846.73787536493296</v>
      </c>
      <c r="N151" s="3">
        <f>EXP(-E151*J151)*(G151*_xlfn.NORM.DIST(-L151,0,1,TRUE)-D151*_xlfn.NORM.DIST(-K151,0,1,TRUE))</f>
        <v>645.8864736439092</v>
      </c>
      <c r="O151" s="3" t="b">
        <f>(M151-N151)=EXP(-E151*J151)*(D151-G151)</f>
        <v>1</v>
      </c>
    </row>
    <row r="152" spans="1:15" x14ac:dyDescent="0.3">
      <c r="A152" s="1">
        <v>45987</v>
      </c>
      <c r="B152" t="s">
        <v>15</v>
      </c>
      <c r="C152">
        <v>9691.58</v>
      </c>
      <c r="D152">
        <v>9907.1503499999999</v>
      </c>
      <c r="E152" s="2">
        <v>3.4372194182787669E-2</v>
      </c>
      <c r="F152" s="1">
        <v>46738</v>
      </c>
      <c r="G152">
        <v>10176.159</v>
      </c>
      <c r="H152">
        <v>0.13308800000000001</v>
      </c>
      <c r="J152" s="3">
        <f>(F152-A152)/365</f>
        <v>2.0575342465753423</v>
      </c>
      <c r="K152" s="3">
        <f>(LN(D152/G152)+H152^2*J152/2)/(H152*SQRT(J152))</f>
        <v>-4.4886317927921845E-2</v>
      </c>
      <c r="L152" s="3">
        <f>K152-H152*SQRT(J152)</f>
        <v>-0.23578917799780208</v>
      </c>
      <c r="M152" s="3">
        <f>EXP(-E152*J152)*(D152*_xlfn.NORM.DIST(K152,0,1,TRUE)-G152*_xlfn.NORM.DIST(L152,0,1,TRUE))</f>
        <v>593.1190030002017</v>
      </c>
      <c r="N152" s="3">
        <f>EXP(-E152*J152)*(G152*_xlfn.NORM.DIST(-L152,0,1,TRUE)-D152*_xlfn.NORM.DIST(-K152,0,1,TRUE))</f>
        <v>843.75998599058164</v>
      </c>
      <c r="O152" s="3" t="b">
        <f>(M152-N152)=EXP(-E152*J152)*(D152-G152)</f>
        <v>1</v>
      </c>
    </row>
    <row r="153" spans="1:15" x14ac:dyDescent="0.3">
      <c r="A153" s="1">
        <v>45987</v>
      </c>
      <c r="B153" t="s">
        <v>15</v>
      </c>
      <c r="C153">
        <v>9691.58</v>
      </c>
      <c r="D153">
        <v>9907.1503499999999</v>
      </c>
      <c r="E153" s="2">
        <v>3.4372194182787669E-2</v>
      </c>
      <c r="F153" s="1">
        <v>46738</v>
      </c>
      <c r="G153">
        <v>10660.738000000001</v>
      </c>
      <c r="H153">
        <v>0.12511900000000001</v>
      </c>
      <c r="J153" s="3">
        <f>(F153-A153)/365</f>
        <v>2.0575342465753423</v>
      </c>
      <c r="K153" s="3">
        <f>(LN(D153/G153)+H153^2*J153/2)/(H153*SQRT(J153))</f>
        <v>-0.31874483730505798</v>
      </c>
      <c r="L153" s="3">
        <f>K153-H153*SQRT(J153)</f>
        <v>-0.49821687797802133</v>
      </c>
      <c r="M153" s="3">
        <f>EXP(-E153*J153)*(D153*_xlfn.NORM.DIST(K153,0,1,TRUE)-G153*_xlfn.NORM.DIST(L153,0,1,TRUE))</f>
        <v>390.25293909707221</v>
      </c>
      <c r="N153" s="3">
        <f>EXP(-E153*J153)*(G153*_xlfn.NORM.DIST(-L153,0,1,TRUE)-D153*_xlfn.NORM.DIST(-K153,0,1,TRUE))</f>
        <v>1092.3863067988566</v>
      </c>
      <c r="O153" s="3" t="b">
        <f>(M153-N153)=EXP(-E153*J153)*(D153-G153)</f>
        <v>0</v>
      </c>
    </row>
    <row r="154" spans="1:15" x14ac:dyDescent="0.3">
      <c r="A154" s="1">
        <v>45987</v>
      </c>
      <c r="B154" t="s">
        <v>15</v>
      </c>
      <c r="C154">
        <v>9691.58</v>
      </c>
      <c r="D154">
        <v>9907.1503499999999</v>
      </c>
      <c r="E154" s="2">
        <v>3.4372194182787669E-2</v>
      </c>
      <c r="F154" s="1">
        <v>46738</v>
      </c>
      <c r="G154">
        <v>11629.896000000001</v>
      </c>
      <c r="H154">
        <v>0.114173</v>
      </c>
      <c r="J154" s="3">
        <f>(F154-A154)/365</f>
        <v>2.0575342465753423</v>
      </c>
      <c r="K154" s="3">
        <f>(LN(D154/G154)+H154^2*J154/2)/(H154*SQRT(J154))</f>
        <v>-0.89705638136144505</v>
      </c>
      <c r="L154" s="3">
        <f>K154-H154*SQRT(J154)</f>
        <v>-1.0608273617861146</v>
      </c>
      <c r="M154" s="3">
        <f>EXP(-E154*J154)*(D154*_xlfn.NORM.DIST(K154,0,1,TRUE)-G154*_xlfn.NORM.DIST(L154,0,1,TRUE))</f>
        <v>141.72257207798705</v>
      </c>
      <c r="N154" s="3">
        <f>EXP(-E154*J154)*(G154*_xlfn.NORM.DIST(-L154,0,1,TRUE)-D154*_xlfn.NORM.DIST(-K154,0,1,TRUE))</f>
        <v>1746.8407092025786</v>
      </c>
      <c r="O154" s="3" t="b">
        <f>(M154-N154)=EXP(-E154*J154)*(D154-G154)</f>
        <v>1</v>
      </c>
    </row>
    <row r="155" spans="1:15" x14ac:dyDescent="0.3">
      <c r="A155" s="1">
        <v>45987</v>
      </c>
      <c r="B155" t="s">
        <v>15</v>
      </c>
      <c r="C155">
        <v>9691.58</v>
      </c>
      <c r="D155">
        <v>9907.1503499999999</v>
      </c>
      <c r="E155" s="2">
        <v>3.4372194182787669E-2</v>
      </c>
      <c r="F155" s="1">
        <v>46738</v>
      </c>
      <c r="G155">
        <v>12599.053999999998</v>
      </c>
      <c r="H155">
        <v>0.110725</v>
      </c>
      <c r="J155" s="3">
        <f>(F155-A155)/365</f>
        <v>2.0575342465753423</v>
      </c>
      <c r="K155" s="3">
        <f>(LN(D155/G155)+H155^2*J155/2)/(H155*SQRT(J155))</f>
        <v>-1.4339812814983439</v>
      </c>
      <c r="L155" s="3">
        <f>K155-H155*SQRT(J155)</f>
        <v>-1.5928064136006934</v>
      </c>
      <c r="M155" s="3">
        <f>EXP(-E155*J155)*(D155*_xlfn.NORM.DIST(K155,0,1,TRUE)-G155*_xlfn.NORM.DIST(L155,0,1,TRUE))</f>
        <v>46.88495573958911</v>
      </c>
      <c r="N155" s="3">
        <f>EXP(-E155*J155)*(G155*_xlfn.NORM.DIST(-L155,0,1,TRUE)-D155*_xlfn.NORM.DIST(-K155,0,1,TRUE))</f>
        <v>2554.9878622869874</v>
      </c>
      <c r="O155" s="3" t="b">
        <f>(M155-N155)=EXP(-E155*J155)*(D155-G155)</f>
        <v>1</v>
      </c>
    </row>
    <row r="156" spans="1:15" x14ac:dyDescent="0.3">
      <c r="A156" s="1">
        <v>45987</v>
      </c>
      <c r="B156" t="s">
        <v>15</v>
      </c>
      <c r="C156">
        <v>9691.58</v>
      </c>
      <c r="D156">
        <v>9907.1503499999999</v>
      </c>
      <c r="E156" s="2">
        <v>3.4372194182787669E-2</v>
      </c>
      <c r="F156" s="1">
        <v>46738</v>
      </c>
      <c r="G156">
        <v>13568.212</v>
      </c>
      <c r="H156">
        <v>0.112692</v>
      </c>
      <c r="J156" s="3">
        <f>(F156-A156)/365</f>
        <v>2.0575342465753423</v>
      </c>
      <c r="K156" s="3">
        <f>(LN(D156/G156)+H156^2*J156/2)/(H156*SQRT(J156))</f>
        <v>-1.8646114525989472</v>
      </c>
      <c r="L156" s="3">
        <f>K156-H156*SQRT(J156)</f>
        <v>-2.0262580706786761</v>
      </c>
      <c r="M156" s="3">
        <f>EXP(-E156*J156)*(D156*_xlfn.NORM.DIST(K156,0,1,TRUE)-G156*_xlfn.NORM.DIST(L156,0,1,TRUE))</f>
        <v>17.095844216823888</v>
      </c>
      <c r="N156" s="3">
        <f>EXP(-E156*J156)*(G156*_xlfn.NORM.DIST(-L156,0,1,TRUE)-D156*_xlfn.NORM.DIST(-K156,0,1,TRUE))</f>
        <v>3428.1835201870308</v>
      </c>
      <c r="O156" s="3" t="b">
        <f>(M156-N156)=EXP(-E156*J156)*(D156-G156)</f>
        <v>1</v>
      </c>
    </row>
    <row r="157" spans="1:15" x14ac:dyDescent="0.3">
      <c r="A157" s="1">
        <v>45987</v>
      </c>
      <c r="B157" t="s">
        <v>15</v>
      </c>
      <c r="C157">
        <v>9691.58</v>
      </c>
      <c r="D157">
        <v>9907.1503499999999</v>
      </c>
      <c r="E157" s="2">
        <v>3.4372194182787669E-2</v>
      </c>
      <c r="F157" s="1">
        <v>46738</v>
      </c>
      <c r="G157">
        <v>14537.37</v>
      </c>
      <c r="H157">
        <v>0.117314</v>
      </c>
      <c r="J157" s="3">
        <f>(F157-A157)/365</f>
        <v>2.0575342465753423</v>
      </c>
      <c r="K157" s="3">
        <f>(LN(D157/G157)+H157^2*J157/2)/(H157*SQRT(J157))</f>
        <v>-2.1946463987743989</v>
      </c>
      <c r="L157" s="3">
        <f>K157-H157*SQRT(J157)</f>
        <v>-2.3629228634161241</v>
      </c>
      <c r="M157" s="3">
        <f>EXP(-E157*J157)*(D157*_xlfn.NORM.DIST(K157,0,1,TRUE)-G157*_xlfn.NORM.DIST(L157,0,1,TRUE))</f>
        <v>7.3088343742817363</v>
      </c>
      <c r="N157" s="3">
        <f>EXP(-E157*J157)*(G157*_xlfn.NORM.DIST(-L157,0,1,TRUE)-D157*_xlfn.NORM.DIST(-K157,0,1,TRUE))</f>
        <v>4321.381279767299</v>
      </c>
      <c r="O157" s="3" t="b">
        <f>(M157-N157)=EXP(-E157*J157)*(D157-G157)</f>
        <v>1</v>
      </c>
    </row>
    <row r="158" spans="1:15" x14ac:dyDescent="0.3">
      <c r="A158" s="1">
        <v>45987</v>
      </c>
      <c r="B158" t="s">
        <v>15</v>
      </c>
      <c r="C158">
        <v>9691.58</v>
      </c>
      <c r="D158">
        <v>9944.3563200000008</v>
      </c>
      <c r="E158" s="2">
        <v>3.4413022006396052E-2</v>
      </c>
      <c r="F158" s="1">
        <v>46920</v>
      </c>
      <c r="G158">
        <v>4845.79</v>
      </c>
      <c r="H158">
        <v>0.26338899999999998</v>
      </c>
      <c r="J158" s="3">
        <f>(F158-A158)/365</f>
        <v>2.5561643835616437</v>
      </c>
      <c r="K158" s="3">
        <f>(LN(D158/G158)+H158^2*J158/2)/(H158*SQRT(J158))</f>
        <v>1.9177099579697403</v>
      </c>
      <c r="L158" s="3">
        <f>K158-H158*SQRT(J158)</f>
        <v>1.4966033823061631</v>
      </c>
      <c r="M158" s="3">
        <f>EXP(-E158*J158)*(D158*_xlfn.NORM.DIST(K158,0,1,TRUE)-G158*_xlfn.NORM.DIST(L158,0,1,TRUE))</f>
        <v>4716.5449088000241</v>
      </c>
      <c r="N158" s="3">
        <f>EXP(-E158*J158)*(G158*_xlfn.NORM.DIST(-L158,0,1,TRUE)-D158*_xlfn.NORM.DIST(-K158,0,1,TRUE))</f>
        <v>47.315518404422413</v>
      </c>
      <c r="O158" s="3" t="b">
        <f>(M158-N158)=EXP(-E158*J158)*(D158-G158)</f>
        <v>1</v>
      </c>
    </row>
    <row r="159" spans="1:15" x14ac:dyDescent="0.3">
      <c r="A159" s="1">
        <v>45987</v>
      </c>
      <c r="B159" t="s">
        <v>15</v>
      </c>
      <c r="C159">
        <v>9691.58</v>
      </c>
      <c r="D159">
        <v>9944.3563200000008</v>
      </c>
      <c r="E159" s="2">
        <v>3.4413022006396052E-2</v>
      </c>
      <c r="F159" s="1">
        <v>46920</v>
      </c>
      <c r="G159">
        <v>5814.9480000000003</v>
      </c>
      <c r="H159">
        <v>0.23349800000000001</v>
      </c>
      <c r="J159" s="3">
        <f>(F159-A159)/365</f>
        <v>2.5561643835616437</v>
      </c>
      <c r="K159" s="3">
        <f>(LN(D159/G159)+H159^2*J159/2)/(H159*SQRT(J159))</f>
        <v>1.6239720194073071</v>
      </c>
      <c r="L159" s="3">
        <f>K159-H159*SQRT(J159)</f>
        <v>1.2506552020599844</v>
      </c>
      <c r="M159" s="3">
        <f>EXP(-E159*J159)*(D159*_xlfn.NORM.DIST(K159,0,1,TRUE)-G159*_xlfn.NORM.DIST(L159,0,1,TRUE))</f>
        <v>3868.3591584898068</v>
      </c>
      <c r="N159" s="3">
        <f>EXP(-E159*J159)*(G159*_xlfn.NORM.DIST(-L159,0,1,TRUE)-D159*_xlfn.NORM.DIST(-K159,0,1,TRUE))</f>
        <v>86.677508678860193</v>
      </c>
      <c r="O159" s="3" t="b">
        <f>(M159-N159)=EXP(-E159*J159)*(D159-G159)</f>
        <v>1</v>
      </c>
    </row>
    <row r="160" spans="1:15" x14ac:dyDescent="0.3">
      <c r="A160" s="1">
        <v>45987</v>
      </c>
      <c r="B160" t="s">
        <v>15</v>
      </c>
      <c r="C160">
        <v>9691.58</v>
      </c>
      <c r="D160">
        <v>9944.3563200000008</v>
      </c>
      <c r="E160" s="2">
        <v>3.4413022006396052E-2</v>
      </c>
      <c r="F160" s="1">
        <v>46920</v>
      </c>
      <c r="G160">
        <v>6784.1059999999998</v>
      </c>
      <c r="H160">
        <v>0.20722399999999999</v>
      </c>
      <c r="J160" s="3">
        <f>(F160-A160)/365</f>
        <v>2.5561643835616437</v>
      </c>
      <c r="K160" s="3">
        <f>(LN(D160/G160)+H160^2*J160/2)/(H160*SQRT(J160))</f>
        <v>1.319929667269313</v>
      </c>
      <c r="L160" s="3">
        <f>K160-H160*SQRT(J160)</f>
        <v>0.9886197453086043</v>
      </c>
      <c r="M160" s="3">
        <f>EXP(-E160*J160)*(D160*_xlfn.NORM.DIST(K160,0,1,TRUE)-G160*_xlfn.NORM.DIST(L160,0,1,TRUE))</f>
        <v>3046.1810451075457</v>
      </c>
      <c r="N160" s="3">
        <f>EXP(-E160*J160)*(G160*_xlfn.NORM.DIST(-L160,0,1,TRUE)-D160*_xlfn.NORM.DIST(-K160,0,1,TRUE))</f>
        <v>152.04713588125338</v>
      </c>
      <c r="O160" s="3" t="b">
        <f>(M160-N160)=EXP(-E160*J160)*(D160-G160)</f>
        <v>1</v>
      </c>
    </row>
    <row r="161" spans="1:15" x14ac:dyDescent="0.3">
      <c r="A161" s="1">
        <v>45987</v>
      </c>
      <c r="B161" t="s">
        <v>15</v>
      </c>
      <c r="C161">
        <v>9691.58</v>
      </c>
      <c r="D161">
        <v>9944.3563200000008</v>
      </c>
      <c r="E161" s="2">
        <v>3.4413022006396052E-2</v>
      </c>
      <c r="F161" s="1">
        <v>46920</v>
      </c>
      <c r="G161">
        <v>7753.2640000000001</v>
      </c>
      <c r="H161">
        <v>0.18370400000000001</v>
      </c>
      <c r="J161" s="3">
        <f>(F161-A161)/365</f>
        <v>2.5561643835616437</v>
      </c>
      <c r="K161" s="3">
        <f>(LN(D161/G161)+H161^2*J161/2)/(H161*SQRT(J161))</f>
        <v>0.99426906623901723</v>
      </c>
      <c r="L161" s="3">
        <f>K161-H161*SQRT(J161)</f>
        <v>0.7005629419297188</v>
      </c>
      <c r="M161" s="3">
        <f>EXP(-E161*J161)*(D161*_xlfn.NORM.DIST(K161,0,1,TRUE)-G161*_xlfn.NORM.DIST(L161,0,1,TRUE))</f>
        <v>2265.839325276504</v>
      </c>
      <c r="N161" s="3">
        <f>EXP(-E161*J161)*(G161*_xlfn.NORM.DIST(-L161,0,1,TRUE)-D161*_xlfn.NORM.DIST(-K161,0,1,TRUE))</f>
        <v>259.25315663486867</v>
      </c>
      <c r="O161" s="3" t="b">
        <f>(M161-N161)=EXP(-E161*J161)*(D161-G161)</f>
        <v>1</v>
      </c>
    </row>
    <row r="162" spans="1:15" x14ac:dyDescent="0.3">
      <c r="A162" s="1">
        <v>45987</v>
      </c>
      <c r="B162" t="s">
        <v>15</v>
      </c>
      <c r="C162">
        <v>9691.58</v>
      </c>
      <c r="D162">
        <v>9944.3563200000008</v>
      </c>
      <c r="E162" s="2">
        <v>3.4413022006396052E-2</v>
      </c>
      <c r="F162" s="1">
        <v>46920</v>
      </c>
      <c r="G162">
        <v>8722.4219999999987</v>
      </c>
      <c r="H162">
        <v>0.162554</v>
      </c>
      <c r="J162" s="3">
        <f>(F162-A162)/365</f>
        <v>2.5561643835616437</v>
      </c>
      <c r="K162" s="3">
        <f>(LN(D162/G162)+H162^2*J162/2)/(H162*SQRT(J162))</f>
        <v>0.63441873299056395</v>
      </c>
      <c r="L162" s="3">
        <f>K162-H162*SQRT(J162)</f>
        <v>0.374527248150965</v>
      </c>
      <c r="M162" s="3">
        <f>EXP(-E162*J162)*(D162*_xlfn.NORM.DIST(K162,0,1,TRUE)-G162*_xlfn.NORM.DIST(L162,0,1,TRUE))</f>
        <v>1552.5573486720409</v>
      </c>
      <c r="N162" s="3">
        <f>EXP(-E162*J162)*(G162*_xlfn.NORM.DIST(-L162,0,1,TRUE)-D162*_xlfn.NORM.DIST(-K162,0,1,TRUE))</f>
        <v>433.51892061505913</v>
      </c>
      <c r="O162" s="3" t="b">
        <f>(M162-N162)=EXP(-E162*J162)*(D162-G162)</f>
        <v>1</v>
      </c>
    </row>
    <row r="163" spans="1:15" x14ac:dyDescent="0.3">
      <c r="A163" s="1">
        <v>45987</v>
      </c>
      <c r="B163" t="s">
        <v>15</v>
      </c>
      <c r="C163">
        <v>9691.58</v>
      </c>
      <c r="D163">
        <v>9944.3563200000008</v>
      </c>
      <c r="E163" s="2">
        <v>3.4413022006396052E-2</v>
      </c>
      <c r="F163" s="1">
        <v>46920</v>
      </c>
      <c r="G163">
        <v>9207.0010000000002</v>
      </c>
      <c r="H163">
        <v>0.15288199999999999</v>
      </c>
      <c r="J163" s="3">
        <f>(F163-A163)/365</f>
        <v>2.5561643835616437</v>
      </c>
      <c r="K163" s="3">
        <f>(LN(D163/G163)+H163^2*J163/2)/(H163*SQRT(J163))</f>
        <v>0.43740307824331887</v>
      </c>
      <c r="L163" s="3">
        <f>K163-H163*SQRT(J163)</f>
        <v>0.1929751959073101</v>
      </c>
      <c r="M163" s="3">
        <f>EXP(-E163*J163)*(D163*_xlfn.NORM.DIST(K163,0,1,TRUE)-G163*_xlfn.NORM.DIST(L163,0,1,TRUE))</f>
        <v>1232.4174207912936</v>
      </c>
      <c r="N163" s="3">
        <f>EXP(-E163*J163)*(G163*_xlfn.NORM.DIST(-L163,0,1,TRUE)-D163*_xlfn.NORM.DIST(-K163,0,1,TRUE))</f>
        <v>557.15286302663935</v>
      </c>
      <c r="O163" s="3" t="b">
        <f>(M163-N163)=EXP(-E163*J163)*(D163-G163)</f>
        <v>0</v>
      </c>
    </row>
    <row r="164" spans="1:15" x14ac:dyDescent="0.3">
      <c r="A164" s="1">
        <v>45987</v>
      </c>
      <c r="B164" t="s">
        <v>15</v>
      </c>
      <c r="C164">
        <v>9691.58</v>
      </c>
      <c r="D164">
        <v>9944.3563200000008</v>
      </c>
      <c r="E164" s="2">
        <v>3.4413022006396052E-2</v>
      </c>
      <c r="F164" s="1">
        <v>46920</v>
      </c>
      <c r="G164">
        <v>9691.58</v>
      </c>
      <c r="H164">
        <v>0.1439</v>
      </c>
      <c r="J164" s="3">
        <f>(F164-A164)/365</f>
        <v>2.5561643835616437</v>
      </c>
      <c r="K164" s="3">
        <f>(LN(D164/G164)+H164^2*J164/2)/(H164*SQRT(J164))</f>
        <v>0.22694750911323039</v>
      </c>
      <c r="L164" s="3">
        <f>K164-H164*SQRT(J164)</f>
        <v>-3.1199433543698807E-3</v>
      </c>
      <c r="M164" s="3">
        <f>EXP(-E164*J164)*(D164*_xlfn.NORM.DIST(K164,0,1,TRUE)-G164*_xlfn.NORM.DIST(L164,0,1,TRUE))</f>
        <v>944.30419852091677</v>
      </c>
      <c r="N164" s="3">
        <f>EXP(-E164*J164)*(G164*_xlfn.NORM.DIST(-L164,0,1,TRUE)-D164*_xlfn.NORM.DIST(-K164,0,1,TRUE))</f>
        <v>712.81351104859152</v>
      </c>
      <c r="O164" s="3" t="b">
        <f>(M164-N164)=EXP(-E164*J164)*(D164-G164)</f>
        <v>0</v>
      </c>
    </row>
    <row r="165" spans="1:15" x14ac:dyDescent="0.3">
      <c r="A165" s="1">
        <v>45987</v>
      </c>
      <c r="B165" t="s">
        <v>15</v>
      </c>
      <c r="C165">
        <v>9691.58</v>
      </c>
      <c r="D165">
        <v>9944.3563200000008</v>
      </c>
      <c r="E165" s="2">
        <v>3.4413022006396052E-2</v>
      </c>
      <c r="F165" s="1">
        <v>46920</v>
      </c>
      <c r="G165">
        <v>10176.159</v>
      </c>
      <c r="H165">
        <v>0.135742</v>
      </c>
      <c r="J165" s="3">
        <f>(F165-A165)/365</f>
        <v>2.5561643835616437</v>
      </c>
      <c r="K165" s="3">
        <f>(LN(D165/G165)+H165^2*J165/2)/(H165*SQRT(J165))</f>
        <v>2.3377890707800054E-3</v>
      </c>
      <c r="L165" s="3">
        <f>K165-H165*SQRT(J165)</f>
        <v>-0.21468664548694755</v>
      </c>
      <c r="M165" s="3">
        <f>EXP(-E165*J165)*(D165*_xlfn.NORM.DIST(K165,0,1,TRUE)-G165*_xlfn.NORM.DIST(L165,0,1,TRUE))</f>
        <v>694.43409291671162</v>
      </c>
      <c r="N165" s="3">
        <f>EXP(-E165*J165)*(G165*_xlfn.NORM.DIST(-L165,0,1,TRUE)-D165*_xlfn.NORM.DIST(-K165,0,1,TRUE))</f>
        <v>906.71727573671205</v>
      </c>
      <c r="O165" s="3" t="b">
        <f>(M165-N165)=EXP(-E165*J165)*(D165-G165)</f>
        <v>0</v>
      </c>
    </row>
    <row r="166" spans="1:15" x14ac:dyDescent="0.3">
      <c r="A166" s="1">
        <v>45987</v>
      </c>
      <c r="B166" t="s">
        <v>15</v>
      </c>
      <c r="C166">
        <v>9691.58</v>
      </c>
      <c r="D166">
        <v>9944.3563200000008</v>
      </c>
      <c r="E166" s="2">
        <v>3.4413022006396052E-2</v>
      </c>
      <c r="F166" s="1">
        <v>46920</v>
      </c>
      <c r="G166">
        <v>10660.738000000001</v>
      </c>
      <c r="H166">
        <v>0.12859799999999999</v>
      </c>
      <c r="J166" s="3">
        <f>(F166-A166)/365</f>
        <v>2.5561643835616437</v>
      </c>
      <c r="K166" s="3">
        <f>(LN(D166/G166)+H166^2*J166/2)/(H166*SQRT(J166))</f>
        <v>-0.23553323728982448</v>
      </c>
      <c r="L166" s="3">
        <f>K166-H166*SQRT(J166)</f>
        <v>-0.44113583807112022</v>
      </c>
      <c r="M166" s="3">
        <f>EXP(-E166*J166)*(D166*_xlfn.NORM.DIST(K166,0,1,TRUE)-G166*_xlfn.NORM.DIST(L166,0,1,TRUE))</f>
        <v>488.12552553095406</v>
      </c>
      <c r="N166" s="3">
        <f>EXP(-E166*J166)*(G166*_xlfn.NORM.DIST(-L166,0,1,TRUE)-D166*_xlfn.NORM.DIST(-K166,0,1,TRUE))</f>
        <v>1144.1825786432844</v>
      </c>
      <c r="O166" s="3" t="b">
        <f>(M166-N166)=EXP(-E166*J166)*(D166-G166)</f>
        <v>1</v>
      </c>
    </row>
    <row r="167" spans="1:15" x14ac:dyDescent="0.3">
      <c r="A167" s="1">
        <v>45987</v>
      </c>
      <c r="B167" t="s">
        <v>15</v>
      </c>
      <c r="C167">
        <v>9691.58</v>
      </c>
      <c r="D167">
        <v>9944.3563200000008</v>
      </c>
      <c r="E167" s="2">
        <v>3.4413022006396052E-2</v>
      </c>
      <c r="F167" s="1">
        <v>46920</v>
      </c>
      <c r="G167">
        <v>11629.896000000001</v>
      </c>
      <c r="H167">
        <v>0.11823599999999999</v>
      </c>
      <c r="J167" s="3">
        <f>(F167-A167)/365</f>
        <v>2.5561643835616437</v>
      </c>
      <c r="K167" s="3">
        <f>(LN(D167/G167)+H167^2*J167/2)/(H167*SQRT(J167))</f>
        <v>-0.73375808903544959</v>
      </c>
      <c r="L167" s="3">
        <f>K167-H167*SQRT(J167)</f>
        <v>-0.92279391467797345</v>
      </c>
      <c r="M167" s="3">
        <f>EXP(-E167*J167)*(D167*_xlfn.NORM.DIST(K167,0,1,TRUE)-G167*_xlfn.NORM.DIST(L167,0,1,TRUE))</f>
        <v>212.28878530499699</v>
      </c>
      <c r="N167" s="3">
        <f>EXP(-E167*J167)*(G167*_xlfn.NORM.DIST(-L167,0,1,TRUE)-D167*_xlfn.NORM.DIST(-K167,0,1,TRUE))</f>
        <v>1755.8935790019827</v>
      </c>
      <c r="O167" s="3" t="b">
        <f>(M167-N167)=EXP(-E167*J167)*(D167-G167)</f>
        <v>0</v>
      </c>
    </row>
    <row r="168" spans="1:15" x14ac:dyDescent="0.3">
      <c r="A168" s="1">
        <v>45987</v>
      </c>
      <c r="B168" t="s">
        <v>15</v>
      </c>
      <c r="C168">
        <v>9691.58</v>
      </c>
      <c r="D168">
        <v>9944.3563200000008</v>
      </c>
      <c r="E168" s="2">
        <v>3.4413022006396052E-2</v>
      </c>
      <c r="F168" s="1">
        <v>46920</v>
      </c>
      <c r="G168">
        <v>12599.053999999998</v>
      </c>
      <c r="H168">
        <v>0.113815</v>
      </c>
      <c r="J168" s="3">
        <f>(F168-A168)/365</f>
        <v>2.5561643835616437</v>
      </c>
      <c r="K168" s="3">
        <f>(LN(D168/G168)+H168^2*J168/2)/(H168*SQRT(J168))</f>
        <v>-1.2093391554380102</v>
      </c>
      <c r="L168" s="3">
        <f>K168-H168*SQRT(J168)</f>
        <v>-1.3913066822107685</v>
      </c>
      <c r="M168" s="3">
        <f>EXP(-E168*J168)*(D168*_xlfn.NORM.DIST(K168,0,1,TRUE)-G168*_xlfn.NORM.DIST(L168,0,1,TRUE))</f>
        <v>84.622466510394318</v>
      </c>
      <c r="N168" s="3">
        <f>EXP(-E168*J168)*(G168*_xlfn.NORM.DIST(-L168,0,1,TRUE)-D168*_xlfn.NORM.DIST(-K168,0,1,TRUE))</f>
        <v>2515.7750007920331</v>
      </c>
      <c r="O168" s="3" t="b">
        <f>(M168-N168)=EXP(-E168*J168)*(D168-G168)</f>
        <v>1</v>
      </c>
    </row>
    <row r="169" spans="1:15" x14ac:dyDescent="0.3">
      <c r="A169" s="1">
        <v>45987</v>
      </c>
      <c r="B169" t="s">
        <v>15</v>
      </c>
      <c r="C169">
        <v>9691.58</v>
      </c>
      <c r="D169">
        <v>9944.3563200000008</v>
      </c>
      <c r="E169" s="2">
        <v>3.4413022006396052E-2</v>
      </c>
      <c r="F169" s="1">
        <v>46920</v>
      </c>
      <c r="G169">
        <v>13568.212</v>
      </c>
      <c r="H169">
        <v>0.114221</v>
      </c>
      <c r="J169" s="3">
        <f>(F169-A169)/365</f>
        <v>2.5561643835616437</v>
      </c>
      <c r="K169" s="3">
        <f>(LN(D169/G169)+H169^2*J169/2)/(H169*SQRT(J169))</f>
        <v>-1.610204301161144</v>
      </c>
      <c r="L169" s="3">
        <f>K169-H169*SQRT(J169)</f>
        <v>-1.792820941107647</v>
      </c>
      <c r="M169" s="3">
        <f>EXP(-E169*J169)*(D169*_xlfn.NORM.DIST(K169,0,1,TRUE)-G169*_xlfn.NORM.DIST(L169,0,1,TRUE))</f>
        <v>35.284782265504383</v>
      </c>
      <c r="N169" s="3">
        <f>EXP(-E169*J169)*(G169*_xlfn.NORM.DIST(-L169,0,1,TRUE)-D169*_xlfn.NORM.DIST(-K169,0,1,TRUE))</f>
        <v>3353.9850571318011</v>
      </c>
      <c r="O169" s="3" t="b">
        <f>(M169-N169)=EXP(-E169*J169)*(D169-G169)</f>
        <v>0</v>
      </c>
    </row>
    <row r="170" spans="1:15" x14ac:dyDescent="0.3">
      <c r="A170" s="1">
        <v>45987</v>
      </c>
      <c r="B170" t="s">
        <v>15</v>
      </c>
      <c r="C170">
        <v>9691.58</v>
      </c>
      <c r="D170">
        <v>9944.3563200000008</v>
      </c>
      <c r="E170" s="2">
        <v>3.4413022006396052E-2</v>
      </c>
      <c r="F170" s="1">
        <v>46920</v>
      </c>
      <c r="G170">
        <v>14537.37</v>
      </c>
      <c r="H170">
        <v>0.117414</v>
      </c>
      <c r="J170" s="3">
        <f>(F170-A170)/365</f>
        <v>2.5561643835616437</v>
      </c>
      <c r="K170" s="3">
        <f>(LN(D170/G170)+H170^2*J170/2)/(H170*SQRT(J170))</f>
        <v>-1.9289078387563472</v>
      </c>
      <c r="L170" s="3">
        <f>K170-H170*SQRT(J170)</f>
        <v>-2.1166294500421765</v>
      </c>
      <c r="M170" s="3">
        <f>EXP(-E170*J170)*(D170*_xlfn.NORM.DIST(K170,0,1,TRUE)-G170*_xlfn.NORM.DIST(L170,0,1,TRUE))</f>
        <v>16.45092481824727</v>
      </c>
      <c r="N170" s="3">
        <f>EXP(-E170*J170)*(G170*_xlfn.NORM.DIST(-L170,0,1,TRUE)-D170*_xlfn.NORM.DIST(-K170,0,1,TRUE))</f>
        <v>4222.6989402691979</v>
      </c>
      <c r="O170" s="3" t="b">
        <f>(M170-N170)=EXP(-E170*J170)*(D170-G170)</f>
        <v>1</v>
      </c>
    </row>
    <row r="171" spans="1:15" x14ac:dyDescent="0.3">
      <c r="A171" s="1">
        <v>45987</v>
      </c>
      <c r="B171" t="s">
        <v>15</v>
      </c>
      <c r="C171">
        <v>9691.58</v>
      </c>
      <c r="D171">
        <v>10031.696110000001</v>
      </c>
      <c r="E171" s="2">
        <v>3.4561860620409939E-2</v>
      </c>
      <c r="F171" s="1">
        <v>47102</v>
      </c>
      <c r="G171">
        <v>4845.79</v>
      </c>
      <c r="H171">
        <v>0.25660899999999998</v>
      </c>
      <c r="J171" s="3">
        <f>(F171-A171)/365</f>
        <v>3.0547945205479454</v>
      </c>
      <c r="K171" s="3">
        <f>(LN(D171/G171)+H171^2*J171/2)/(H171*SQRT(J171))</f>
        <v>1.8466329916279518</v>
      </c>
      <c r="L171" s="3">
        <f>K171-H171*SQRT(J171)</f>
        <v>1.3981325389707224</v>
      </c>
      <c r="M171" s="3">
        <f>EXP(-E171*J171)*(D171*_xlfn.NORM.DIST(K171,0,1,TRUE)-G171*_xlfn.NORM.DIST(L171,0,1,TRUE))</f>
        <v>4727.1727937058977</v>
      </c>
      <c r="N171" s="3">
        <f>EXP(-E171*J171)*(G171*_xlfn.NORM.DIST(-L171,0,1,TRUE)-D171*_xlfn.NORM.DIST(-K171,0,1,TRUE))</f>
        <v>60.878703265067479</v>
      </c>
      <c r="O171" s="3" t="b">
        <f>(M171-N171)=EXP(-E171*J171)*(D171-G171)</f>
        <v>1</v>
      </c>
    </row>
    <row r="172" spans="1:15" x14ac:dyDescent="0.3">
      <c r="A172" s="1">
        <v>45987</v>
      </c>
      <c r="B172" t="s">
        <v>15</v>
      </c>
      <c r="C172">
        <v>9691.58</v>
      </c>
      <c r="D172">
        <v>10031.696110000001</v>
      </c>
      <c r="E172" s="2">
        <v>3.4561860620409939E-2</v>
      </c>
      <c r="F172" s="1">
        <v>47102</v>
      </c>
      <c r="G172">
        <v>5814.9480000000003</v>
      </c>
      <c r="H172">
        <v>0.22879099999999999</v>
      </c>
      <c r="J172" s="3">
        <f>(F172-A172)/365</f>
        <v>3.0547945205479454</v>
      </c>
      <c r="K172" s="3">
        <f>(LN(D172/G172)+H172^2*J172/2)/(H172*SQRT(J172))</f>
        <v>1.5636430485742259</v>
      </c>
      <c r="L172" s="3">
        <f>K172-H172*SQRT(J172)</f>
        <v>1.1637628141946827</v>
      </c>
      <c r="M172" s="3">
        <f>EXP(-E172*J172)*(D172*_xlfn.NORM.DIST(K172,0,1,TRUE)-G172*_xlfn.NORM.DIST(L172,0,1,TRUE))</f>
        <v>3901.8235514837402</v>
      </c>
      <c r="N172" s="3">
        <f>EXP(-E172*J172)*(G172*_xlfn.NORM.DIST(-L172,0,1,TRUE)-D172*_xlfn.NORM.DIST(-K172,0,1,TRUE))</f>
        <v>107.58077708639621</v>
      </c>
      <c r="O172" s="3" t="b">
        <f>(M172-N172)=EXP(-E172*J172)*(D172-G172)</f>
        <v>1</v>
      </c>
    </row>
    <row r="173" spans="1:15" x14ac:dyDescent="0.3">
      <c r="A173" s="1">
        <v>45987</v>
      </c>
      <c r="B173" t="s">
        <v>15</v>
      </c>
      <c r="C173">
        <v>9691.58</v>
      </c>
      <c r="D173">
        <v>10031.696110000001</v>
      </c>
      <c r="E173" s="2">
        <v>3.4561860620409939E-2</v>
      </c>
      <c r="F173" s="1">
        <v>47102</v>
      </c>
      <c r="G173">
        <v>6784.1059999999998</v>
      </c>
      <c r="H173">
        <v>0.204429</v>
      </c>
      <c r="J173" s="3">
        <f>(F173-A173)/365</f>
        <v>3.0547945205479454</v>
      </c>
      <c r="K173" s="3">
        <f>(LN(D173/G173)+H173^2*J173/2)/(H173*SQRT(J173))</f>
        <v>1.2734353318551674</v>
      </c>
      <c r="L173" s="3">
        <f>K173-H173*SQRT(J173)</f>
        <v>0.91613492915586714</v>
      </c>
      <c r="M173" s="3">
        <f>EXP(-E173*J173)*(D173*_xlfn.NORM.DIST(K173,0,1,TRUE)-G173*_xlfn.NORM.DIST(L173,0,1,TRUE))</f>
        <v>3104.1641199848077</v>
      </c>
      <c r="N173" s="3">
        <f>EXP(-E173*J173)*(G173*_xlfn.NORM.DIST(-L173,0,1,TRUE)-D173*_xlfn.NORM.DIST(-K173,0,1,TRUE))</f>
        <v>181.97266163094829</v>
      </c>
      <c r="O173" s="3" t="b">
        <f>(M173-N173)=EXP(-E173*J173)*(D173-G173)</f>
        <v>1</v>
      </c>
    </row>
    <row r="174" spans="1:15" x14ac:dyDescent="0.3">
      <c r="A174" s="1">
        <v>45987</v>
      </c>
      <c r="B174" t="s">
        <v>15</v>
      </c>
      <c r="C174">
        <v>9691.58</v>
      </c>
      <c r="D174">
        <v>10031.696110000001</v>
      </c>
      <c r="E174" s="2">
        <v>3.4561860620409939E-2</v>
      </c>
      <c r="F174" s="1">
        <v>47102</v>
      </c>
      <c r="G174">
        <v>7753.2640000000001</v>
      </c>
      <c r="H174">
        <v>0.182725</v>
      </c>
      <c r="J174" s="3">
        <f>(F174-A174)/365</f>
        <v>3.0547945205479454</v>
      </c>
      <c r="K174" s="3">
        <f>(LN(D174/G174)+H174^2*J174/2)/(H174*SQRT(J174))</f>
        <v>0.96639265567187427</v>
      </c>
      <c r="L174" s="3">
        <f>K174-H174*SQRT(J174)</f>
        <v>0.64702644009957455</v>
      </c>
      <c r="M174" s="3">
        <f>EXP(-E174*J174)*(D174*_xlfn.NORM.DIST(K174,0,1,TRUE)-G174*_xlfn.NORM.DIST(L174,0,1,TRUE))</f>
        <v>2348.9401621436541</v>
      </c>
      <c r="N174" s="3">
        <f>EXP(-E174*J174)*(G174*_xlfn.NORM.DIST(-L174,0,1,TRUE)-D174*_xlfn.NORM.DIST(-K174,0,1,TRUE))</f>
        <v>298.80001983328106</v>
      </c>
      <c r="O174" s="3" t="b">
        <f>(M174-N174)=EXP(-E174*J174)*(D174-G174)</f>
        <v>1</v>
      </c>
    </row>
    <row r="175" spans="1:15" x14ac:dyDescent="0.3">
      <c r="A175" s="1">
        <v>45987</v>
      </c>
      <c r="B175" t="s">
        <v>15</v>
      </c>
      <c r="C175">
        <v>9691.58</v>
      </c>
      <c r="D175">
        <v>10031.696110000001</v>
      </c>
      <c r="E175" s="2">
        <v>3.4561860620409939E-2</v>
      </c>
      <c r="F175" s="1">
        <v>47102</v>
      </c>
      <c r="G175">
        <v>8722.4219999999987</v>
      </c>
      <c r="H175">
        <v>0.16331699999999999</v>
      </c>
      <c r="J175" s="3">
        <f>(F175-A175)/365</f>
        <v>3.0547945205479454</v>
      </c>
      <c r="K175" s="3">
        <f>(LN(D175/G175)+H175^2*J175/2)/(H175*SQRT(J175))</f>
        <v>0.63266889938486148</v>
      </c>
      <c r="L175" s="3">
        <f>K175-H175*SQRT(J175)</f>
        <v>0.34722392891764975</v>
      </c>
      <c r="M175" s="3">
        <f>EXP(-E175*J175)*(D175*_xlfn.NORM.DIST(K175,0,1,TRUE)-G175*_xlfn.NORM.DIST(L175,0,1,TRUE))</f>
        <v>1658.31934873826</v>
      </c>
      <c r="N175" s="3">
        <f>EXP(-E175*J175)*(G175*_xlfn.NORM.DIST(-L175,0,1,TRUE)-D175*_xlfn.NORM.DIST(-K175,0,1,TRUE))</f>
        <v>480.23052247137082</v>
      </c>
      <c r="O175" s="3" t="b">
        <f>(M175-N175)=EXP(-E175*J175)*(D175-G175)</f>
        <v>1</v>
      </c>
    </row>
    <row r="176" spans="1:15" x14ac:dyDescent="0.3">
      <c r="A176" s="1">
        <v>45987</v>
      </c>
      <c r="B176" t="s">
        <v>15</v>
      </c>
      <c r="C176">
        <v>9691.58</v>
      </c>
      <c r="D176">
        <v>10031.696110000001</v>
      </c>
      <c r="E176" s="2">
        <v>3.4561860620409939E-2</v>
      </c>
      <c r="F176" s="1">
        <v>47102</v>
      </c>
      <c r="G176">
        <v>9207.0010000000002</v>
      </c>
      <c r="H176">
        <v>0.154475</v>
      </c>
      <c r="J176" s="3">
        <f>(F176-A176)/365</f>
        <v>3.0547945205479454</v>
      </c>
      <c r="K176" s="3">
        <f>(LN(D176/G176)+H176^2*J176/2)/(H176*SQRT(J176))</f>
        <v>0.45273026809539546</v>
      </c>
      <c r="L176" s="3">
        <f>K176-H176*SQRT(J176)</f>
        <v>0.18273931912546254</v>
      </c>
      <c r="M176" s="3">
        <f>EXP(-E176*J176)*(D176*_xlfn.NORM.DIST(K176,0,1,TRUE)-G176*_xlfn.NORM.DIST(L176,0,1,TRUE))</f>
        <v>1346.7099445982424</v>
      </c>
      <c r="N176" s="3">
        <f>EXP(-E176*J176)*(G176*_xlfn.NORM.DIST(-L176,0,1,TRUE)-D176*_xlfn.NORM.DIST(-K176,0,1,TRUE))</f>
        <v>604.64677635309829</v>
      </c>
      <c r="O176" s="3" t="b">
        <f>(M176-N176)=EXP(-E176*J176)*(D176-G176)</f>
        <v>0</v>
      </c>
    </row>
    <row r="177" spans="1:15" x14ac:dyDescent="0.3">
      <c r="A177" s="1">
        <v>45987</v>
      </c>
      <c r="B177" t="s">
        <v>15</v>
      </c>
      <c r="C177">
        <v>9691.58</v>
      </c>
      <c r="D177">
        <v>10031.696110000001</v>
      </c>
      <c r="E177" s="2">
        <v>3.4561860620409939E-2</v>
      </c>
      <c r="F177" s="1">
        <v>47102</v>
      </c>
      <c r="G177">
        <v>9691.58</v>
      </c>
      <c r="H177">
        <v>0.14626700000000001</v>
      </c>
      <c r="J177" s="3">
        <f>(F177-A177)/365</f>
        <v>3.0547945205479454</v>
      </c>
      <c r="K177" s="3">
        <f>(LN(D177/G177)+H177^2*J177/2)/(H177*SQRT(J177))</f>
        <v>0.26274484873129939</v>
      </c>
      <c r="L177" s="3">
        <f>K177-H177*SQRT(J177)</f>
        <v>7.0998179302947939E-3</v>
      </c>
      <c r="M177" s="3">
        <f>EXP(-E177*J177)*(D177*_xlfn.NORM.DIST(K177,0,1,TRUE)-G177*_xlfn.NORM.DIST(L177,0,1,TRUE))</f>
        <v>1063.7075682769287</v>
      </c>
      <c r="N177" s="3">
        <f>EXP(-E177*J177)*(G177*_xlfn.NORM.DIST(-L177,0,1,TRUE)-D177*_xlfn.NORM.DIST(-K177,0,1,TRUE))</f>
        <v>757.67005805352778</v>
      </c>
      <c r="O177" s="3" t="b">
        <f>(M177-N177)=EXP(-E177*J177)*(D177-G177)</f>
        <v>0</v>
      </c>
    </row>
    <row r="178" spans="1:15" x14ac:dyDescent="0.3">
      <c r="A178" s="1">
        <v>45987</v>
      </c>
      <c r="B178" t="s">
        <v>15</v>
      </c>
      <c r="C178">
        <v>9691.58</v>
      </c>
      <c r="D178">
        <v>10031.696110000001</v>
      </c>
      <c r="E178" s="2">
        <v>3.4561860620409939E-2</v>
      </c>
      <c r="F178" s="1">
        <v>47102</v>
      </c>
      <c r="G178">
        <v>10176.159</v>
      </c>
      <c r="H178">
        <v>0.13878599999999999</v>
      </c>
      <c r="J178" s="3">
        <f>(F178-A178)/365</f>
        <v>3.0547945205479454</v>
      </c>
      <c r="K178" s="3">
        <f>(LN(D178/G178)+H178^2*J178/2)/(H178*SQRT(J178))</f>
        <v>6.2341259354002802E-2</v>
      </c>
      <c r="L178" s="3">
        <f>K178-H178*SQRT(J178)</f>
        <v>-0.18022850173187588</v>
      </c>
      <c r="M178" s="3">
        <f>EXP(-E178*J178)*(D178*_xlfn.NORM.DIST(K178,0,1,TRUE)-G178*_xlfn.NORM.DIST(L178,0,1,TRUE))</f>
        <v>814.17130217405577</v>
      </c>
      <c r="N178" s="3">
        <f>EXP(-E178*J178)*(G178*_xlfn.NORM.DIST(-L178,0,1,TRUE)-D178*_xlfn.NORM.DIST(-K178,0,1,TRUE))</f>
        <v>944.1594499723974</v>
      </c>
      <c r="O178" s="3" t="b">
        <f>(M178-N178)=EXP(-E178*J178)*(D178-G178)</f>
        <v>0</v>
      </c>
    </row>
    <row r="179" spans="1:15" x14ac:dyDescent="0.3">
      <c r="A179" s="1">
        <v>45987</v>
      </c>
      <c r="B179" t="s">
        <v>15</v>
      </c>
      <c r="C179">
        <v>9691.58</v>
      </c>
      <c r="D179">
        <v>10031.696110000001</v>
      </c>
      <c r="E179" s="2">
        <v>3.4561860620409939E-2</v>
      </c>
      <c r="F179" s="1">
        <v>47102</v>
      </c>
      <c r="G179">
        <v>10660.738000000001</v>
      </c>
      <c r="H179">
        <v>0.13216</v>
      </c>
      <c r="J179" s="3">
        <f>(F179-A179)/365</f>
        <v>3.0547945205479454</v>
      </c>
      <c r="K179" s="3">
        <f>(LN(D179/G179)+H179^2*J179/2)/(H179*SQRT(J179))</f>
        <v>-0.14779946460548593</v>
      </c>
      <c r="L179" s="3">
        <f>K179-H179*SQRT(J179)</f>
        <v>-0.37878832245216881</v>
      </c>
      <c r="M179" s="3">
        <f>EXP(-E179*J179)*(D179*_xlfn.NORM.DIST(K179,0,1,TRUE)-G179*_xlfn.NORM.DIST(L179,0,1,TRUE))</f>
        <v>602.33430015907356</v>
      </c>
      <c r="N179" s="3">
        <f>EXP(-E179*J179)*(G179*_xlfn.NORM.DIST(-L179,0,1,TRUE)-D179*_xlfn.NORM.DIST(-K179,0,1,TRUE))</f>
        <v>1168.3481059791591</v>
      </c>
      <c r="O179" s="3" t="b">
        <f>(M179-N179)=EXP(-E179*J179)*(D179-G179)</f>
        <v>0</v>
      </c>
    </row>
    <row r="180" spans="1:15" x14ac:dyDescent="0.3">
      <c r="A180" s="1">
        <v>45987</v>
      </c>
      <c r="B180" t="s">
        <v>15</v>
      </c>
      <c r="C180">
        <v>9691.58</v>
      </c>
      <c r="D180">
        <v>10031.696110000001</v>
      </c>
      <c r="E180" s="2">
        <v>3.4561860620409939E-2</v>
      </c>
      <c r="F180" s="1">
        <v>47102</v>
      </c>
      <c r="G180">
        <v>11629.896000000001</v>
      </c>
      <c r="H180">
        <v>0.122073</v>
      </c>
      <c r="J180" s="3">
        <f>(F180-A180)/365</f>
        <v>3.0547945205479454</v>
      </c>
      <c r="K180" s="3">
        <f>(LN(D180/G180)+H180^2*J180/2)/(H180*SQRT(J180))</f>
        <v>-0.58618777738933858</v>
      </c>
      <c r="L180" s="3">
        <f>K180-H180*SQRT(J180)</f>
        <v>-0.79954660641414277</v>
      </c>
      <c r="M180" s="3">
        <f>EXP(-E180*J180)*(D180*_xlfn.NORM.DIST(K180,0,1,TRUE)-G180*_xlfn.NORM.DIST(L180,0,1,TRUE))</f>
        <v>298.91624779502217</v>
      </c>
      <c r="N180" s="3">
        <f>EXP(-E180*J180)*(G180*_xlfn.NORM.DIST(-L180,0,1,TRUE)-D180*_xlfn.NORM.DIST(-K180,0,1,TRUE))</f>
        <v>1736.9813696585925</v>
      </c>
      <c r="O180" s="3" t="b">
        <f>(M180-N180)=EXP(-E180*J180)*(D180-G180)</f>
        <v>1</v>
      </c>
    </row>
    <row r="181" spans="1:15" x14ac:dyDescent="0.3">
      <c r="A181" s="1">
        <v>45987</v>
      </c>
      <c r="B181" t="s">
        <v>15</v>
      </c>
      <c r="C181">
        <v>9691.58</v>
      </c>
      <c r="D181">
        <v>10031.696110000001</v>
      </c>
      <c r="E181" s="2">
        <v>3.4561860620409939E-2</v>
      </c>
      <c r="F181" s="1">
        <v>47102</v>
      </c>
      <c r="G181">
        <v>12599.053999999998</v>
      </c>
      <c r="H181">
        <v>0.116816</v>
      </c>
      <c r="J181" s="3">
        <f>(F181-A181)/365</f>
        <v>3.0547945205479454</v>
      </c>
      <c r="K181" s="3">
        <f>(LN(D181/G181)+H181^2*J181/2)/(H181*SQRT(J181))</f>
        <v>-1.0140007936155957</v>
      </c>
      <c r="L181" s="3">
        <f>K181-H181*SQRT(J181)</f>
        <v>-1.2181714535597399</v>
      </c>
      <c r="M181" s="3">
        <f>EXP(-E181*J181)*(D181*_xlfn.NORM.DIST(K181,0,1,TRUE)-G181*_xlfn.NORM.DIST(L181,0,1,TRUE))</f>
        <v>136.80510958977584</v>
      </c>
      <c r="N181" s="3">
        <f>EXP(-E181*J181)*(G181*_xlfn.NORM.DIST(-L181,0,1,TRUE)-D181*_xlfn.NORM.DIST(-K181,0,1,TRUE))</f>
        <v>2446.9215474968291</v>
      </c>
      <c r="O181" s="3" t="b">
        <f>(M181-N181)=EXP(-E181*J181)*(D181-G181)</f>
        <v>1</v>
      </c>
    </row>
    <row r="182" spans="1:15" x14ac:dyDescent="0.3">
      <c r="A182" s="1">
        <v>45987</v>
      </c>
      <c r="B182" t="s">
        <v>15</v>
      </c>
      <c r="C182">
        <v>9691.58</v>
      </c>
      <c r="D182">
        <v>10031.696110000001</v>
      </c>
      <c r="E182" s="2">
        <v>3.4561860620409939E-2</v>
      </c>
      <c r="F182" s="1">
        <v>47102</v>
      </c>
      <c r="G182">
        <v>13568.212</v>
      </c>
      <c r="H182">
        <v>0.115871</v>
      </c>
      <c r="J182" s="3">
        <f>(F182-A182)/365</f>
        <v>3.0547945205479454</v>
      </c>
      <c r="K182" s="3">
        <f>(LN(D182/G182)+H182^2*J182/2)/(H182*SQRT(J182))</f>
        <v>-1.3898599787840769</v>
      </c>
      <c r="L182" s="3">
        <f>K182-H182*SQRT(J182)</f>
        <v>-1.5923789705179827</v>
      </c>
      <c r="M182" s="3">
        <f>EXP(-E182*J182)*(D182*_xlfn.NORM.DIST(K182,0,1,TRUE)-G182*_xlfn.NORM.DIST(L182,0,1,TRUE))</f>
        <v>63.34343584437169</v>
      </c>
      <c r="N182" s="3">
        <f>EXP(-E182*J182)*(G182*_xlfn.NORM.DIST(-L182,0,1,TRUE)-D182*_xlfn.NORM.DIST(-K182,0,1,TRUE))</f>
        <v>3245.5111897949118</v>
      </c>
      <c r="O182" s="3" t="b">
        <f>(M182-N182)=EXP(-E182*J182)*(D182-G182)</f>
        <v>1</v>
      </c>
    </row>
    <row r="183" spans="1:15" x14ac:dyDescent="0.3">
      <c r="A183" s="1">
        <v>45987</v>
      </c>
      <c r="B183" t="s">
        <v>15</v>
      </c>
      <c r="C183">
        <v>9691.58</v>
      </c>
      <c r="D183">
        <v>10031.696110000001</v>
      </c>
      <c r="E183" s="2">
        <v>3.4561860620409939E-2</v>
      </c>
      <c r="F183" s="1">
        <v>47102</v>
      </c>
      <c r="G183">
        <v>14537.37</v>
      </c>
      <c r="H183">
        <v>0.117775</v>
      </c>
      <c r="J183" s="3">
        <f>(F183-A183)/365</f>
        <v>3.0547945205479454</v>
      </c>
      <c r="K183" s="3">
        <f>(LN(D183/G183)+H183^2*J183/2)/(H183*SQRT(J183))</f>
        <v>-1.6992561294703636</v>
      </c>
      <c r="L183" s="3">
        <f>K183-H183*SQRT(J183)</f>
        <v>-1.9051029267834165</v>
      </c>
      <c r="M183" s="3">
        <f>EXP(-E183*J183)*(D183*_xlfn.NORM.DIST(K183,0,1,TRUE)-G183*_xlfn.NORM.DIST(L183,0,1,TRUE))</f>
        <v>31.62828735396446</v>
      </c>
      <c r="N183" s="3">
        <f>EXP(-E183*J183)*(G183*_xlfn.NORM.DIST(-L183,0,1,TRUE)-D183*_xlfn.NORM.DIST(-K183,0,1,TRUE))</f>
        <v>4085.8473573479914</v>
      </c>
      <c r="O183" s="3" t="b">
        <f>(M183-N183)=EXP(-E183*J183)*(D183-G183)</f>
        <v>1</v>
      </c>
    </row>
    <row r="184" spans="1:15" x14ac:dyDescent="0.3">
      <c r="A184" s="1">
        <v>45987</v>
      </c>
      <c r="B184" t="s">
        <v>15</v>
      </c>
      <c r="C184">
        <v>9691.58</v>
      </c>
      <c r="D184">
        <v>10204.515649999999</v>
      </c>
      <c r="E184" s="2">
        <v>3.5032675973800047E-2</v>
      </c>
      <c r="F184" s="1">
        <v>47473</v>
      </c>
      <c r="G184">
        <v>4845.79</v>
      </c>
      <c r="H184">
        <v>0.24593899999999999</v>
      </c>
      <c r="J184" s="3">
        <f>(F184-A184)/365</f>
        <v>4.0712328767123287</v>
      </c>
      <c r="K184" s="3">
        <f>(LN(D184/G184)+H184^2*J184/2)/(H184*SQRT(J184))</f>
        <v>1.7488495661060366</v>
      </c>
      <c r="L184" s="3">
        <f>K184-H184*SQRT(J184)</f>
        <v>1.2526111576015306</v>
      </c>
      <c r="M184" s="3">
        <f>EXP(-E184*J184)*(D184*_xlfn.NORM.DIST(K184,0,1,TRUE)-G184*_xlfn.NORM.DIST(L184,0,1,TRUE))</f>
        <v>4733.0125879184625</v>
      </c>
      <c r="N184" s="3">
        <f>EXP(-E184*J184)*(G184*_xlfn.NORM.DIST(-L184,0,1,TRUE)-D184*_xlfn.NORM.DIST(-K184,0,1,TRUE))</f>
        <v>86.578731534097628</v>
      </c>
      <c r="O184" s="3" t="b">
        <f>(M184-N184)=EXP(-E184*J184)*(D184-G184)</f>
        <v>1</v>
      </c>
    </row>
    <row r="185" spans="1:15" x14ac:dyDescent="0.3">
      <c r="A185" s="1">
        <v>45987</v>
      </c>
      <c r="B185" t="s">
        <v>15</v>
      </c>
      <c r="C185">
        <v>9691.58</v>
      </c>
      <c r="D185">
        <v>10204.515649999999</v>
      </c>
      <c r="E185" s="2">
        <v>3.5032675973800047E-2</v>
      </c>
      <c r="F185" s="1">
        <v>47473</v>
      </c>
      <c r="G185">
        <v>5814.9480000000003</v>
      </c>
      <c r="H185">
        <v>0.22125500000000001</v>
      </c>
      <c r="J185" s="3">
        <f>(F185-A185)/365</f>
        <v>4.0712328767123287</v>
      </c>
      <c r="K185" s="3">
        <f>(LN(D185/G185)+H185^2*J185/2)/(H185*SQRT(J185))</f>
        <v>1.482977153334553</v>
      </c>
      <c r="L185" s="3">
        <f>K185-H185*SQRT(J185)</f>
        <v>1.0365443831205388</v>
      </c>
      <c r="M185" s="3">
        <f>EXP(-E185*J185)*(D185*_xlfn.NORM.DIST(K185,0,1,TRUE)-G185*_xlfn.NORM.DIST(L185,0,1,TRUE))</f>
        <v>3951.3940000421444</v>
      </c>
      <c r="N185" s="3">
        <f>EXP(-E185*J185)*(G185*_xlfn.NORM.DIST(-L185,0,1,TRUE)-D185*_xlfn.NORM.DIST(-K185,0,1,TRUE))</f>
        <v>145.2958573149555</v>
      </c>
      <c r="O185" s="3" t="b">
        <f>(M185-N185)=EXP(-E185*J185)*(D185-G185)</f>
        <v>1</v>
      </c>
    </row>
    <row r="186" spans="1:15" x14ac:dyDescent="0.3">
      <c r="A186" s="1">
        <v>45987</v>
      </c>
      <c r="B186" t="s">
        <v>15</v>
      </c>
      <c r="C186">
        <v>9691.58</v>
      </c>
      <c r="D186">
        <v>10204.515649999999</v>
      </c>
      <c r="E186" s="2">
        <v>3.5032675973800047E-2</v>
      </c>
      <c r="F186" s="1">
        <v>47473</v>
      </c>
      <c r="G186">
        <v>6784.1059999999998</v>
      </c>
      <c r="H186">
        <v>0.19978099999999999</v>
      </c>
      <c r="J186" s="3">
        <f>(F186-A186)/365</f>
        <v>4.0712328767123287</v>
      </c>
      <c r="K186" s="3">
        <f>(LN(D186/G186)+H186^2*J186/2)/(H186*SQRT(J186))</f>
        <v>1.2143124142016579</v>
      </c>
      <c r="L186" s="3">
        <f>K186-H186*SQRT(J186)</f>
        <v>0.81120837015236646</v>
      </c>
      <c r="M186" s="3">
        <f>EXP(-E186*J186)*(D186*_xlfn.NORM.DIST(K186,0,1,TRUE)-G186*_xlfn.NORM.DIST(L186,0,1,TRUE))</f>
        <v>3199.187114237438</v>
      </c>
      <c r="N186" s="3">
        <f>EXP(-E186*J186)*(G186*_xlfn.NORM.DIST(-L186,0,1,TRUE)-D186*_xlfn.NORM.DIST(-K186,0,1,TRUE))</f>
        <v>233.42468516742269</v>
      </c>
      <c r="O186" s="3" t="b">
        <f>(M186-N186)=EXP(-E186*J186)*(D186-G186)</f>
        <v>1</v>
      </c>
    </row>
    <row r="187" spans="1:15" x14ac:dyDescent="0.3">
      <c r="A187" s="1">
        <v>45987</v>
      </c>
      <c r="B187" t="s">
        <v>15</v>
      </c>
      <c r="C187">
        <v>9691.58</v>
      </c>
      <c r="D187">
        <v>10204.515649999999</v>
      </c>
      <c r="E187" s="2">
        <v>3.5032675973800047E-2</v>
      </c>
      <c r="F187" s="1">
        <v>47473</v>
      </c>
      <c r="G187">
        <v>7753.2640000000001</v>
      </c>
      <c r="H187">
        <v>0.180808</v>
      </c>
      <c r="J187" s="3">
        <f>(F187-A187)/365</f>
        <v>4.0712328767123287</v>
      </c>
      <c r="K187" s="3">
        <f>(LN(D187/G187)+H187^2*J187/2)/(H187*SQRT(J187))</f>
        <v>0.93542647409946011</v>
      </c>
      <c r="L187" s="3">
        <f>K187-H187*SQRT(J187)</f>
        <v>0.57060481439976751</v>
      </c>
      <c r="M187" s="3">
        <f>EXP(-E187*J187)*(D187*_xlfn.NORM.DIST(K187,0,1,TRUE)-G187*_xlfn.NORM.DIST(L187,0,1,TRUE))</f>
        <v>2489.0578448136662</v>
      </c>
      <c r="N187" s="3">
        <f>EXP(-E187*J187)*(G187*_xlfn.NORM.DIST(-L187,0,1,TRUE)-D187*_xlfn.NORM.DIST(-K187,0,1,TRUE))</f>
        <v>363.63112940082601</v>
      </c>
      <c r="O187" s="3" t="b">
        <f>(M187-N187)=EXP(-E187*J187)*(D187-G187)</f>
        <v>1</v>
      </c>
    </row>
    <row r="188" spans="1:15" x14ac:dyDescent="0.3">
      <c r="A188" s="1">
        <v>45987</v>
      </c>
      <c r="B188" t="s">
        <v>15</v>
      </c>
      <c r="C188">
        <v>9691.58</v>
      </c>
      <c r="D188">
        <v>10204.515649999999</v>
      </c>
      <c r="E188" s="2">
        <v>3.5032675973800047E-2</v>
      </c>
      <c r="F188" s="1">
        <v>47473</v>
      </c>
      <c r="G188">
        <v>8722.4219999999987</v>
      </c>
      <c r="H188">
        <v>0.16400500000000001</v>
      </c>
      <c r="J188" s="3">
        <f>(F188-A188)/365</f>
        <v>4.0712328767123287</v>
      </c>
      <c r="K188" s="3">
        <f>(LN(D188/G188)+H188^2*J188/2)/(H188*SQRT(J188))</f>
        <v>0.63969569630529177</v>
      </c>
      <c r="L188" s="3">
        <f>K188-H188*SQRT(J188)</f>
        <v>0.3087779476489928</v>
      </c>
      <c r="M188" s="3">
        <f>EXP(-E188*J188)*(D188*_xlfn.NORM.DIST(K188,0,1,TRUE)-G188*_xlfn.NORM.DIST(L188,0,1,TRUE))</f>
        <v>1838.5529821812245</v>
      </c>
      <c r="N188" s="3">
        <f>EXP(-E188*J188)*(G188*_xlfn.NORM.DIST(-L188,0,1,TRUE)-D188*_xlfn.NORM.DIST(-K188,0,1,TRUE))</f>
        <v>553.46198042555909</v>
      </c>
      <c r="O188" s="3" t="b">
        <f>(M188-N188)=EXP(-E188*J188)*(D188-G188)</f>
        <v>1</v>
      </c>
    </row>
    <row r="189" spans="1:15" x14ac:dyDescent="0.3">
      <c r="A189" s="1">
        <v>45987</v>
      </c>
      <c r="B189" t="s">
        <v>15</v>
      </c>
      <c r="C189">
        <v>9691.58</v>
      </c>
      <c r="D189">
        <v>10204.515649999999</v>
      </c>
      <c r="E189" s="2">
        <v>3.5032675973800047E-2</v>
      </c>
      <c r="F189" s="1">
        <v>47473</v>
      </c>
      <c r="G189">
        <v>9207.0010000000002</v>
      </c>
      <c r="H189">
        <v>0.15640000000000001</v>
      </c>
      <c r="J189" s="3">
        <f>(F189-A189)/365</f>
        <v>4.0712328767123287</v>
      </c>
      <c r="K189" s="3">
        <f>(LN(D189/G189)+H189^2*J189/2)/(H189*SQRT(J189))</f>
        <v>0.48375283590079515</v>
      </c>
      <c r="L189" s="3">
        <f>K189-H189*SQRT(J189)</f>
        <v>0.16817992111255603</v>
      </c>
      <c r="M189" s="3">
        <f>EXP(-E189*J189)*(D189*_xlfn.NORM.DIST(K189,0,1,TRUE)-G189*_xlfn.NORM.DIST(L189,0,1,TRUE))</f>
        <v>1542.6168528136</v>
      </c>
      <c r="N189" s="3">
        <f>EXP(-E189*J189)*(G189*_xlfn.NORM.DIST(-L189,0,1,TRUE)-D189*_xlfn.NORM.DIST(-K189,0,1,TRUE))</f>
        <v>677.69370788652316</v>
      </c>
      <c r="O189" s="3" t="b">
        <f>(M189-N189)=EXP(-E189*J189)*(D189-G189)</f>
        <v>1</v>
      </c>
    </row>
    <row r="190" spans="1:15" x14ac:dyDescent="0.3">
      <c r="A190" s="1">
        <v>45987</v>
      </c>
      <c r="B190" t="s">
        <v>15</v>
      </c>
      <c r="C190">
        <v>9691.58</v>
      </c>
      <c r="D190">
        <v>10204.515649999999</v>
      </c>
      <c r="E190" s="2">
        <v>3.5032675973800047E-2</v>
      </c>
      <c r="F190" s="1">
        <v>47473</v>
      </c>
      <c r="G190">
        <v>9691.58</v>
      </c>
      <c r="H190">
        <v>0.14935499999999999</v>
      </c>
      <c r="J190" s="3">
        <f>(F190-A190)/365</f>
        <v>4.0712328767123287</v>
      </c>
      <c r="K190" s="3">
        <f>(LN(D190/G190)+H190^2*J190/2)/(H190*SQRT(J190))</f>
        <v>0.32181388145701501</v>
      </c>
      <c r="L190" s="3">
        <f>K190-H190*SQRT(J190)</f>
        <v>2.0455871941686077E-2</v>
      </c>
      <c r="M190" s="3">
        <f>EXP(-E190*J190)*(D190*_xlfn.NORM.DIST(K190,0,1,TRUE)-G190*_xlfn.NORM.DIST(L190,0,1,TRUE))</f>
        <v>1270.4647182788037</v>
      </c>
      <c r="N190" s="3">
        <f>EXP(-E190*J190)*(G190*_xlfn.NORM.DIST(-L190,0,1,TRUE)-D190*_xlfn.NORM.DIST(-K190,0,1,TRUE))</f>
        <v>825.70943018031323</v>
      </c>
      <c r="O190" s="3" t="b">
        <f>(M190-N190)=EXP(-E190*J190)*(D190-G190)</f>
        <v>1</v>
      </c>
    </row>
    <row r="191" spans="1:15" x14ac:dyDescent="0.3">
      <c r="A191" s="1">
        <v>45987</v>
      </c>
      <c r="B191" t="s">
        <v>15</v>
      </c>
      <c r="C191">
        <v>9691.58</v>
      </c>
      <c r="D191">
        <v>10204.515649999999</v>
      </c>
      <c r="E191" s="2">
        <v>3.5032675973800047E-2</v>
      </c>
      <c r="F191" s="1">
        <v>47473</v>
      </c>
      <c r="G191">
        <v>10176.159</v>
      </c>
      <c r="H191">
        <v>0.14291999999999999</v>
      </c>
      <c r="J191" s="3">
        <f>(F191-A191)/365</f>
        <v>4.0712328767123287</v>
      </c>
      <c r="K191" s="3">
        <f>(LN(D191/G191)+H191^2*J191/2)/(H191*SQRT(J191))</f>
        <v>0.15383658968826408</v>
      </c>
      <c r="L191" s="3">
        <f>K191-H191*SQRT(J191)</f>
        <v>-0.13453732963101422</v>
      </c>
      <c r="M191" s="3">
        <f>EXP(-E191*J191)*(D191*_xlfn.NORM.DIST(K191,0,1,TRUE)-G191*_xlfn.NORM.DIST(L191,0,1,TRUE))</f>
        <v>1025.3420910074392</v>
      </c>
      <c r="N191" s="3">
        <f>EXP(-E191*J191)*(G191*_xlfn.NORM.DIST(-L191,0,1,TRUE)-D191*_xlfn.NORM.DIST(-K191,0,1,TRUE))</f>
        <v>1000.7546597375364</v>
      </c>
      <c r="O191" s="3" t="b">
        <f>(M191-N191)=EXP(-E191*J191)*(D191-G191)</f>
        <v>1</v>
      </c>
    </row>
    <row r="192" spans="1:15" x14ac:dyDescent="0.3">
      <c r="A192" s="1">
        <v>45987</v>
      </c>
      <c r="B192" t="s">
        <v>15</v>
      </c>
      <c r="C192">
        <v>9691.58</v>
      </c>
      <c r="D192">
        <v>10204.515649999999</v>
      </c>
      <c r="E192" s="2">
        <v>3.5032675973800047E-2</v>
      </c>
      <c r="F192" s="1">
        <v>47473</v>
      </c>
      <c r="G192">
        <v>10660.738000000001</v>
      </c>
      <c r="H192">
        <v>0.137159</v>
      </c>
      <c r="J192" s="3">
        <f>(F192-A192)/365</f>
        <v>4.0712328767123287</v>
      </c>
      <c r="K192" s="3">
        <f>(LN(D192/G192)+H192^2*J192/2)/(H192*SQRT(J192))</f>
        <v>-1.9664311803875713E-2</v>
      </c>
      <c r="L192" s="3">
        <f>K192-H192*SQRT(J192)</f>
        <v>-0.29641409070055147</v>
      </c>
      <c r="M192" s="3">
        <f>EXP(-E192*J192)*(D192*_xlfn.NORM.DIST(K192,0,1,TRUE)-G192*_xlfn.NORM.DIST(L192,0,1,TRUE))</f>
        <v>810.08979486910494</v>
      </c>
      <c r="N192" s="3">
        <f>EXP(-E192*J192)*(G192*_xlfn.NORM.DIST(-L192,0,1,TRUE)-D192*_xlfn.NORM.DIST(-K192,0,1,TRUE))</f>
        <v>1205.6702204277913</v>
      </c>
      <c r="O192" s="3" t="b">
        <f>(M192-N192)=EXP(-E192*J192)*(D192-G192)</f>
        <v>1</v>
      </c>
    </row>
    <row r="193" spans="1:15" x14ac:dyDescent="0.3">
      <c r="A193" s="1">
        <v>45987</v>
      </c>
      <c r="B193" t="s">
        <v>15</v>
      </c>
      <c r="C193">
        <v>9691.58</v>
      </c>
      <c r="D193">
        <v>10204.515649999999</v>
      </c>
      <c r="E193" s="2">
        <v>3.5032675973800047E-2</v>
      </c>
      <c r="F193" s="1">
        <v>47473</v>
      </c>
      <c r="G193">
        <v>11629.896000000001</v>
      </c>
      <c r="H193">
        <v>0.127965</v>
      </c>
      <c r="J193" s="3">
        <f>(F193-A193)/365</f>
        <v>4.0712328767123287</v>
      </c>
      <c r="K193" s="3">
        <f>(LN(D193/G193)+H193^2*J193/2)/(H193*SQRT(J193))</f>
        <v>-0.37728834610955647</v>
      </c>
      <c r="L193" s="3">
        <f>K193-H193*SQRT(J193)</f>
        <v>-0.63548711874943509</v>
      </c>
      <c r="M193" s="3">
        <f>EXP(-E193*J193)*(D193*_xlfn.NORM.DIST(K193,0,1,TRUE)-G193*_xlfn.NORM.DIST(L193,0,1,TRUE))</f>
        <v>475.58778967590456</v>
      </c>
      <c r="N193" s="3">
        <f>EXP(-E193*J193)*(G193*_xlfn.NORM.DIST(-L193,0,1,TRUE)-D193*_xlfn.NORM.DIST(-K193,0,1,TRUE))</f>
        <v>1711.5039288917649</v>
      </c>
      <c r="O193" s="3" t="b">
        <f>(M193-N193)=EXP(-E193*J193)*(D193-G193)</f>
        <v>1</v>
      </c>
    </row>
    <row r="194" spans="1:15" x14ac:dyDescent="0.3">
      <c r="A194" s="1">
        <v>45987</v>
      </c>
      <c r="B194" t="s">
        <v>15</v>
      </c>
      <c r="C194">
        <v>9691.58</v>
      </c>
      <c r="D194">
        <v>10204.515649999999</v>
      </c>
      <c r="E194" s="2">
        <v>3.5032675973800047E-2</v>
      </c>
      <c r="F194" s="1">
        <v>47473</v>
      </c>
      <c r="G194">
        <v>12599.053999999998</v>
      </c>
      <c r="H194">
        <v>0.122238</v>
      </c>
      <c r="J194" s="3">
        <f>(F194-A194)/365</f>
        <v>4.0712328767123287</v>
      </c>
      <c r="K194" s="3">
        <f>(LN(D194/G194)+H194^2*J194/2)/(H194*SQRT(J194))</f>
        <v>-0.73131929183786226</v>
      </c>
      <c r="L194" s="3">
        <f>K194-H194*SQRT(J194)</f>
        <v>-0.97796252686270091</v>
      </c>
      <c r="M194" s="3">
        <f>EXP(-E194*J194)*(D194*_xlfn.NORM.DIST(K194,0,1,TRUE)-G194*_xlfn.NORM.DIST(L194,0,1,TRUE))</f>
        <v>263.24344340402524</v>
      </c>
      <c r="N194" s="3">
        <f>EXP(-E194*J194)*(G194*_xlfn.NORM.DIST(-L194,0,1,TRUE)-D194*_xlfn.NORM.DIST(-K194,0,1,TRUE))</f>
        <v>2339.4952962770585</v>
      </c>
      <c r="O194" s="3" t="b">
        <f>(M194-N194)=EXP(-E194*J194)*(D194-G194)</f>
        <v>1</v>
      </c>
    </row>
    <row r="195" spans="1:15" x14ac:dyDescent="0.3">
      <c r="A195" s="1">
        <v>45987</v>
      </c>
      <c r="B195" t="s">
        <v>15</v>
      </c>
      <c r="C195">
        <v>9691.58</v>
      </c>
      <c r="D195">
        <v>10204.515649999999</v>
      </c>
      <c r="E195" s="2">
        <v>3.5032675973800047E-2</v>
      </c>
      <c r="F195" s="1">
        <v>47473</v>
      </c>
      <c r="G195">
        <v>13568.212</v>
      </c>
      <c r="H195">
        <v>0.119855</v>
      </c>
      <c r="J195" s="3">
        <f>(F195-A195)/365</f>
        <v>4.0712328767123287</v>
      </c>
      <c r="K195" s="3">
        <f>(LN(D195/G195)+H195^2*J195/2)/(H195*SQRT(J195))</f>
        <v>-1.0571559381173266</v>
      </c>
      <c r="L195" s="3">
        <f>K195-H195*SQRT(J195)</f>
        <v>-1.2989909234238763</v>
      </c>
      <c r="M195" s="3">
        <f>EXP(-E195*J195)*(D195*_xlfn.NORM.DIST(K195,0,1,TRUE)-G195*_xlfn.NORM.DIST(L195,0,1,TRUE))</f>
        <v>144.06037370546554</v>
      </c>
      <c r="N195" s="3">
        <f>EXP(-E195*J195)*(G195*_xlfn.NORM.DIST(-L195,0,1,TRUE)-D195*_xlfn.NORM.DIST(-K195,0,1,TRUE))</f>
        <v>3060.6479402356745</v>
      </c>
      <c r="O195" s="3" t="b">
        <f>(M195-N195)=EXP(-E195*J195)*(D195-G195)</f>
        <v>1</v>
      </c>
    </row>
    <row r="196" spans="1:15" x14ac:dyDescent="0.3">
      <c r="A196" s="1">
        <v>45987</v>
      </c>
      <c r="B196" t="s">
        <v>15</v>
      </c>
      <c r="C196">
        <v>9691.58</v>
      </c>
      <c r="D196">
        <v>10204.515649999999</v>
      </c>
      <c r="E196" s="2">
        <v>3.5032675973800047E-2</v>
      </c>
      <c r="F196" s="1">
        <v>47473</v>
      </c>
      <c r="G196">
        <v>14537.37</v>
      </c>
      <c r="H196">
        <v>0.120064</v>
      </c>
      <c r="J196" s="3">
        <f>(F196-A196)/365</f>
        <v>4.0712328767123287</v>
      </c>
      <c r="K196" s="3">
        <f>(LN(D196/G196)+H196^2*J196/2)/(H196*SQRT(J196))</f>
        <v>-1.3396867971605275</v>
      </c>
      <c r="L196" s="3">
        <f>K196-H196*SQRT(J196)</f>
        <v>-1.5819434879606242</v>
      </c>
      <c r="M196" s="3">
        <f>EXP(-E196*J196)*(D196*_xlfn.NORM.DIST(K196,0,1,TRUE)-G196*_xlfn.NORM.DIST(L196,0,1,TRUE))</f>
        <v>81.506354877918639</v>
      </c>
      <c r="N196" s="3">
        <f>EXP(-E196*J196)*(G196*_xlfn.NORM.DIST(-L196,0,1,TRUE)-D196*_xlfn.NORM.DIST(-K196,0,1,TRUE))</f>
        <v>3838.4296350653049</v>
      </c>
      <c r="O196" s="3" t="b">
        <f>(M196-N196)=EXP(-E196*J196)*(D196-G196)</f>
        <v>1</v>
      </c>
    </row>
    <row r="197" spans="1:15" x14ac:dyDescent="0.3">
      <c r="A197" s="1">
        <v>45987</v>
      </c>
      <c r="B197" t="s">
        <v>15</v>
      </c>
      <c r="C197">
        <v>9691.58</v>
      </c>
      <c r="D197">
        <v>10392.815850000001</v>
      </c>
      <c r="E197" s="2">
        <v>3.5561642487390292E-2</v>
      </c>
      <c r="F197" s="1">
        <v>47837</v>
      </c>
      <c r="G197">
        <v>4845.79</v>
      </c>
      <c r="H197">
        <v>0.239427</v>
      </c>
      <c r="J197" s="3">
        <f>(F197-A197)/365</f>
        <v>5.0684931506849313</v>
      </c>
      <c r="K197" s="3">
        <f>(LN(D197/G197)+H197^2*J197/2)/(H197*SQRT(J197))</f>
        <v>1.6850299784019496</v>
      </c>
      <c r="L197" s="3">
        <f>K197-H197*SQRT(J197)</f>
        <v>1.1460004511433999</v>
      </c>
      <c r="M197" s="3">
        <f>EXP(-E197*J197)*(D197*_xlfn.NORM.DIST(K197,0,1,TRUE)-G197*_xlfn.NORM.DIST(L197,0,1,TRUE))</f>
        <v>4742.441512450032</v>
      </c>
      <c r="N197" s="3">
        <f>EXP(-E197*J197)*(G197*_xlfn.NORM.DIST(-L197,0,1,TRUE)-D197*_xlfn.NORM.DIST(-K197,0,1,TRUE))</f>
        <v>110.30616531429146</v>
      </c>
      <c r="O197" s="3" t="b">
        <f>(M197-N197)=EXP(-E197*J197)*(D197-G197)</f>
        <v>1</v>
      </c>
    </row>
    <row r="198" spans="1:15" x14ac:dyDescent="0.3">
      <c r="A198" s="1">
        <v>45987</v>
      </c>
      <c r="B198" t="s">
        <v>15</v>
      </c>
      <c r="C198">
        <v>9691.58</v>
      </c>
      <c r="D198">
        <v>10392.815850000001</v>
      </c>
      <c r="E198" s="2">
        <v>3.5561642487390292E-2</v>
      </c>
      <c r="F198" s="1">
        <v>47837</v>
      </c>
      <c r="G198">
        <v>5814.9480000000003</v>
      </c>
      <c r="H198">
        <v>0.21695500000000001</v>
      </c>
      <c r="J198" s="3">
        <f>(F198-A198)/365</f>
        <v>5.0684931506849313</v>
      </c>
      <c r="K198" s="3">
        <f>(LN(D198/G198)+H198^2*J198/2)/(H198*SQRT(J198))</f>
        <v>1.4330767688121528</v>
      </c>
      <c r="L198" s="3">
        <f>K198-H198*SQRT(J198)</f>
        <v>0.94463916116398194</v>
      </c>
      <c r="M198" s="3">
        <f>EXP(-E198*J198)*(D198*_xlfn.NORM.DIST(K198,0,1,TRUE)-G198*_xlfn.NORM.DIST(L198,0,1,TRUE))</f>
        <v>4001.2118526911831</v>
      </c>
      <c r="N198" s="3">
        <f>EXP(-E198*J198)*(G198*_xlfn.NORM.DIST(-L198,0,1,TRUE)-D198*_xlfn.NORM.DIST(-K198,0,1,TRUE))</f>
        <v>178.38786449914983</v>
      </c>
      <c r="O198" s="3" t="b">
        <f>(M198-N198)=EXP(-E198*J198)*(D198-G198)</f>
        <v>1</v>
      </c>
    </row>
    <row r="199" spans="1:15" x14ac:dyDescent="0.3">
      <c r="A199" s="1">
        <v>45987</v>
      </c>
      <c r="B199" t="s">
        <v>15</v>
      </c>
      <c r="C199">
        <v>9691.58</v>
      </c>
      <c r="D199">
        <v>10392.815850000001</v>
      </c>
      <c r="E199" s="2">
        <v>3.5561642487390292E-2</v>
      </c>
      <c r="F199" s="1">
        <v>47837</v>
      </c>
      <c r="G199">
        <v>6784.1059999999998</v>
      </c>
      <c r="H199">
        <v>0.19750200000000001</v>
      </c>
      <c r="J199" s="3">
        <f>(F199-A199)/365</f>
        <v>5.0684931506849313</v>
      </c>
      <c r="K199" s="3">
        <f>(LN(D199/G199)+H199^2*J199/2)/(H199*SQRT(J199))</f>
        <v>1.1815914315085174</v>
      </c>
      <c r="L199" s="3">
        <f>K199-H199*SQRT(J199)</f>
        <v>0.73694897392178715</v>
      </c>
      <c r="M199" s="3">
        <f>EXP(-E199*J199)*(D199*_xlfn.NORM.DIST(K199,0,1,TRUE)-G199*_xlfn.NORM.DIST(L199,0,1,TRUE))</f>
        <v>3289.7497007907195</v>
      </c>
      <c r="N199" s="3">
        <f>EXP(-E199*J199)*(G199*_xlfn.NORM.DIST(-L199,0,1,TRUE)-D199*_xlfn.NORM.DIST(-K199,0,1,TRUE))</f>
        <v>276.23707154239361</v>
      </c>
      <c r="O199" s="3" t="b">
        <f>(M199-N199)=EXP(-E199*J199)*(D199-G199)</f>
        <v>0</v>
      </c>
    </row>
    <row r="200" spans="1:15" x14ac:dyDescent="0.3">
      <c r="A200" s="1">
        <v>45987</v>
      </c>
      <c r="B200" t="s">
        <v>15</v>
      </c>
      <c r="C200">
        <v>9691.58</v>
      </c>
      <c r="D200">
        <v>10392.815850000001</v>
      </c>
      <c r="E200" s="2">
        <v>3.5561642487390292E-2</v>
      </c>
      <c r="F200" s="1">
        <v>47837</v>
      </c>
      <c r="G200">
        <v>7753.2640000000001</v>
      </c>
      <c r="H200">
        <v>0.18041499999999999</v>
      </c>
      <c r="J200" s="3">
        <f>(F200-A200)/365</f>
        <v>5.0684931506849313</v>
      </c>
      <c r="K200" s="3">
        <f>(LN(D200/G200)+H200^2*J200/2)/(H200*SQRT(J200))</f>
        <v>0.92445491066180641</v>
      </c>
      <c r="L200" s="3">
        <f>K200-H200*SQRT(J200)</f>
        <v>0.51828095300309962</v>
      </c>
      <c r="M200" s="3">
        <f>EXP(-E200*J200)*(D200*_xlfn.NORM.DIST(K200,0,1,TRUE)-G200*_xlfn.NORM.DIST(L200,0,1,TRUE))</f>
        <v>2618.7959190294641</v>
      </c>
      <c r="N200" s="3">
        <f>EXP(-E200*J200)*(G200*_xlfn.NORM.DIST(-L200,0,1,TRUE)-D200*_xlfn.NORM.DIST(-K200,0,1,TRUE))</f>
        <v>414.59464872484887</v>
      </c>
      <c r="O200" s="3" t="b">
        <f>(M200-N200)=EXP(-E200*J200)*(D200-G200)</f>
        <v>1</v>
      </c>
    </row>
    <row r="201" spans="1:15" x14ac:dyDescent="0.3">
      <c r="A201" s="1">
        <v>45987</v>
      </c>
      <c r="B201" t="s">
        <v>15</v>
      </c>
      <c r="C201">
        <v>9691.58</v>
      </c>
      <c r="D201">
        <v>10392.815850000001</v>
      </c>
      <c r="E201" s="2">
        <v>3.5561642487390292E-2</v>
      </c>
      <c r="F201" s="1">
        <v>47837</v>
      </c>
      <c r="G201">
        <v>8722.4219999999987</v>
      </c>
      <c r="H201">
        <v>0.16536799999999999</v>
      </c>
      <c r="J201" s="3">
        <f>(F201-A201)/365</f>
        <v>5.0684931506849313</v>
      </c>
      <c r="K201" s="3">
        <f>(LN(D201/G201)+H201^2*J201/2)/(H201*SQRT(J201))</f>
        <v>0.65678752798978957</v>
      </c>
      <c r="L201" s="3">
        <f>K201-H201*SQRT(J201)</f>
        <v>0.28448935416774024</v>
      </c>
      <c r="M201" s="3">
        <f>EXP(-E201*J201)*(D201*_xlfn.NORM.DIST(K201,0,1,TRUE)-G201*_xlfn.NORM.DIST(L201,0,1,TRUE))</f>
        <v>2002.3502894704764</v>
      </c>
      <c r="N201" s="3">
        <f>EXP(-E201*J201)*(G201*_xlfn.NORM.DIST(-L201,0,1,TRUE)-D201*_xlfn.NORM.DIST(-K201,0,1,TRUE))</f>
        <v>607.46037810956807</v>
      </c>
      <c r="O201" s="3" t="b">
        <f>(M201-N201)=EXP(-E201*J201)*(D201-G201)</f>
        <v>1</v>
      </c>
    </row>
    <row r="202" spans="1:15" x14ac:dyDescent="0.3">
      <c r="A202" s="1">
        <v>45987</v>
      </c>
      <c r="B202" t="s">
        <v>15</v>
      </c>
      <c r="C202">
        <v>9691.58</v>
      </c>
      <c r="D202">
        <v>10392.815850000001</v>
      </c>
      <c r="E202" s="2">
        <v>3.5561642487390292E-2</v>
      </c>
      <c r="F202" s="1">
        <v>47837</v>
      </c>
      <c r="G202">
        <v>9207.0010000000002</v>
      </c>
      <c r="H202">
        <v>0.158577</v>
      </c>
      <c r="J202" s="3">
        <f>(F202-A202)/365</f>
        <v>5.0684931506849313</v>
      </c>
      <c r="K202" s="3">
        <f>(LN(D202/G202)+H202^2*J202/2)/(H202*SQRT(J202))</f>
        <v>0.51785322623529095</v>
      </c>
      <c r="L202" s="3">
        <f>K202-H202*SQRT(J202)</f>
        <v>0.1608438440683716</v>
      </c>
      <c r="M202" s="3">
        <f>EXP(-E202*J202)*(D202*_xlfn.NORM.DIST(K202,0,1,TRUE)-G202*_xlfn.NORM.DIST(L202,0,1,TRUE))</f>
        <v>1719.8357365831259</v>
      </c>
      <c r="N202" s="3">
        <f>EXP(-E202*J202)*(G202*_xlfn.NORM.DIST(-L202,0,1,TRUE)-D202*_xlfn.NORM.DIST(-K202,0,1,TRUE))</f>
        <v>729.60150469407336</v>
      </c>
      <c r="O202" s="3" t="b">
        <f>(M202-N202)=EXP(-E202*J202)*(D202-G202)</f>
        <v>1</v>
      </c>
    </row>
    <row r="203" spans="1:15" x14ac:dyDescent="0.3">
      <c r="A203" s="1">
        <v>45987</v>
      </c>
      <c r="B203" t="s">
        <v>15</v>
      </c>
      <c r="C203">
        <v>9691.58</v>
      </c>
      <c r="D203">
        <v>10392.815850000001</v>
      </c>
      <c r="E203" s="2">
        <v>3.5561642487390292E-2</v>
      </c>
      <c r="F203" s="1">
        <v>47837</v>
      </c>
      <c r="G203">
        <v>9691.58</v>
      </c>
      <c r="H203">
        <v>0.152285</v>
      </c>
      <c r="J203" s="3">
        <f>(F203-A203)/365</f>
        <v>5.0684931506849313</v>
      </c>
      <c r="K203" s="3">
        <f>(LN(D203/G203)+H203^2*J203/2)/(H203*SQRT(J203))</f>
        <v>0.37518031669260765</v>
      </c>
      <c r="L203" s="3">
        <f>K203-H203*SQRT(J203)</f>
        <v>3.2336311803567497E-2</v>
      </c>
      <c r="M203" s="3">
        <f>EXP(-E203*J203)*(D203*_xlfn.NORM.DIST(K203,0,1,TRUE)-G203*_xlfn.NORM.DIST(L203,0,1,TRUE))</f>
        <v>1457.5480036643175</v>
      </c>
      <c r="N203" s="3">
        <f>EXP(-E203*J203)*(G203*_xlfn.NORM.DIST(-L203,0,1,TRUE)-D203*_xlfn.NORM.DIST(-K203,0,1,TRUE))</f>
        <v>871.96945124711908</v>
      </c>
      <c r="O203" s="3" t="b">
        <f>(M203-N203)=EXP(-E203*J203)*(D203-G203)</f>
        <v>0</v>
      </c>
    </row>
    <row r="204" spans="1:15" x14ac:dyDescent="0.3">
      <c r="A204" s="1">
        <v>45987</v>
      </c>
      <c r="B204" t="s">
        <v>15</v>
      </c>
      <c r="C204">
        <v>9691.58</v>
      </c>
      <c r="D204">
        <v>10392.815850000001</v>
      </c>
      <c r="E204" s="2">
        <v>3.5561642487390292E-2</v>
      </c>
      <c r="F204" s="1">
        <v>47837</v>
      </c>
      <c r="G204">
        <v>10176.159</v>
      </c>
      <c r="H204">
        <v>0.14651600000000001</v>
      </c>
      <c r="J204" s="3">
        <f>(F204-A204)/365</f>
        <v>5.0684931506849313</v>
      </c>
      <c r="K204" s="3">
        <f>(LN(D204/G204)+H204^2*J204/2)/(H204*SQRT(J204))</f>
        <v>0.2287957477125325</v>
      </c>
      <c r="L204" s="3">
        <f>K204-H204*SQRT(J204)</f>
        <v>-0.10106032622989522</v>
      </c>
      <c r="M204" s="3">
        <f>EXP(-E204*J204)*(D204*_xlfn.NORM.DIST(K204,0,1,TRUE)-G204*_xlfn.NORM.DIST(L204,0,1,TRUE))</f>
        <v>1217.7872826946762</v>
      </c>
      <c r="N204" s="3">
        <f>EXP(-E204*J204)*(G204*_xlfn.NORM.DIST(-L204,0,1,TRUE)-D204*_xlfn.NORM.DIST(-K204,0,1,TRUE))</f>
        <v>1036.8644097493309</v>
      </c>
      <c r="O204" s="3" t="b">
        <f>(M204-N204)=EXP(-E204*J204)*(D204-G204)</f>
        <v>1</v>
      </c>
    </row>
    <row r="205" spans="1:15" x14ac:dyDescent="0.3">
      <c r="A205" s="1">
        <v>45987</v>
      </c>
      <c r="B205" t="s">
        <v>15</v>
      </c>
      <c r="C205">
        <v>9691.58</v>
      </c>
      <c r="D205">
        <v>10392.815850000001</v>
      </c>
      <c r="E205" s="2">
        <v>3.5561642487390292E-2</v>
      </c>
      <c r="F205" s="1">
        <v>47837</v>
      </c>
      <c r="G205">
        <v>10660.738000000001</v>
      </c>
      <c r="H205">
        <v>0.14130599999999999</v>
      </c>
      <c r="J205" s="3">
        <f>(F205-A205)/365</f>
        <v>5.0684931506849313</v>
      </c>
      <c r="K205" s="3">
        <f>(LN(D205/G205)+H205^2*J205/2)/(H205*SQRT(J205))</f>
        <v>7.9054729793342535E-2</v>
      </c>
      <c r="L205" s="3">
        <f>K205-H205*SQRT(J205)</f>
        <v>-0.23907190746476364</v>
      </c>
      <c r="M205" s="3">
        <f>EXP(-E205*J205)*(D205*_xlfn.NORM.DIST(K205,0,1,TRUE)-G205*_xlfn.NORM.DIST(L205,0,1,TRUE))</f>
        <v>1002.6171132568769</v>
      </c>
      <c r="N205" s="3">
        <f>EXP(-E205*J205)*(G205*_xlfn.NORM.DIST(-L205,0,1,TRUE)-D205*_xlfn.NORM.DIST(-K205,0,1,TRUE))</f>
        <v>1226.349919783388</v>
      </c>
      <c r="O205" s="3" t="b">
        <f>(M205-N205)=EXP(-E205*J205)*(D205-G205)</f>
        <v>1</v>
      </c>
    </row>
    <row r="206" spans="1:15" x14ac:dyDescent="0.3">
      <c r="A206" s="1">
        <v>45987</v>
      </c>
      <c r="B206" t="s">
        <v>15</v>
      </c>
      <c r="C206">
        <v>9691.58</v>
      </c>
      <c r="D206">
        <v>10392.815850000001</v>
      </c>
      <c r="E206" s="2">
        <v>3.5561642487390292E-2</v>
      </c>
      <c r="F206" s="1">
        <v>47837</v>
      </c>
      <c r="G206">
        <v>11629.896000000001</v>
      </c>
      <c r="H206">
        <v>0.13272600000000001</v>
      </c>
      <c r="J206" s="3">
        <f>(F206-A206)/365</f>
        <v>5.0684931506849313</v>
      </c>
      <c r="K206" s="3">
        <f>(LN(D206/G206)+H206^2*J206/2)/(H206*SQRT(J206))</f>
        <v>-0.22696837421848834</v>
      </c>
      <c r="L206" s="3">
        <f>K206-H206*SQRT(J206)</f>
        <v>-0.52577858791585019</v>
      </c>
      <c r="M206" s="3">
        <f>EXP(-E206*J206)*(D206*_xlfn.NORM.DIST(K206,0,1,TRUE)-G206*_xlfn.NORM.DIST(L206,0,1,TRUE))</f>
        <v>651.34002567852951</v>
      </c>
      <c r="N206" s="3">
        <f>EXP(-E206*J206)*(G206*_xlfn.NORM.DIST(-L206,0,1,TRUE)-D206*_xlfn.NORM.DIST(-K206,0,1,TRUE))</f>
        <v>1684.3841911487498</v>
      </c>
      <c r="O206" s="3" t="b">
        <f>(M206-N206)=EXP(-E206*J206)*(D206-G206)</f>
        <v>1</v>
      </c>
    </row>
    <row r="207" spans="1:15" x14ac:dyDescent="0.3">
      <c r="A207" s="1">
        <v>45987</v>
      </c>
      <c r="B207" t="s">
        <v>15</v>
      </c>
      <c r="C207">
        <v>9691.58</v>
      </c>
      <c r="D207">
        <v>10392.815850000001</v>
      </c>
      <c r="E207" s="2">
        <v>3.5561642487390292E-2</v>
      </c>
      <c r="F207" s="1">
        <v>47837</v>
      </c>
      <c r="G207">
        <v>12599.053999999998</v>
      </c>
      <c r="H207">
        <v>0.12681799999999999</v>
      </c>
      <c r="J207" s="3">
        <f>(F207-A207)/365</f>
        <v>5.0684931506849313</v>
      </c>
      <c r="K207" s="3">
        <f>(LN(D207/G207)+H207^2*J207/2)/(H207*SQRT(J207))</f>
        <v>-0.53150327793096697</v>
      </c>
      <c r="L207" s="3">
        <f>K207-H207*SQRT(J207)</f>
        <v>-0.81701262561470656</v>
      </c>
      <c r="M207" s="3">
        <f>EXP(-E207*J207)*(D207*_xlfn.NORM.DIST(K207,0,1,TRUE)-G207*_xlfn.NORM.DIST(L207,0,1,TRUE))</f>
        <v>404.77256662515197</v>
      </c>
      <c r="N207" s="3">
        <f>EXP(-E207*J207)*(G207*_xlfn.NORM.DIST(-L207,0,1,TRUE)-D207*_xlfn.NORM.DIST(-K207,0,1,TRUE))</f>
        <v>2247.1280910390765</v>
      </c>
      <c r="O207" s="3" t="b">
        <f>(M207-N207)=EXP(-E207*J207)*(D207-G207)</f>
        <v>0</v>
      </c>
    </row>
    <row r="208" spans="1:15" x14ac:dyDescent="0.3">
      <c r="A208" s="1">
        <v>45987</v>
      </c>
      <c r="B208" t="s">
        <v>15</v>
      </c>
      <c r="C208">
        <v>9691.58</v>
      </c>
      <c r="D208">
        <v>10392.815850000001</v>
      </c>
      <c r="E208" s="2">
        <v>3.5561642487390292E-2</v>
      </c>
      <c r="F208" s="1">
        <v>47837</v>
      </c>
      <c r="G208">
        <v>13568.212</v>
      </c>
      <c r="H208">
        <v>0.123574</v>
      </c>
      <c r="J208" s="3">
        <f>(F208-A208)/365</f>
        <v>5.0684931506849313</v>
      </c>
      <c r="K208" s="3">
        <f>(LN(D208/G208)+H208^2*J208/2)/(H208*SQRT(J208))</f>
        <v>-0.81923322849837232</v>
      </c>
      <c r="L208" s="3">
        <f>K208-H208*SQRT(J208)</f>
        <v>-1.0974392570642735</v>
      </c>
      <c r="M208" s="3">
        <f>EXP(-E208*J208)*(D208*_xlfn.NORM.DIST(K208,0,1,TRUE)-G208*_xlfn.NORM.DIST(L208,0,1,TRUE))</f>
        <v>247.17086212589044</v>
      </c>
      <c r="N208" s="3">
        <f>EXP(-E208*J208)*(G208*_xlfn.NORM.DIST(-L208,0,1,TRUE)-D208*_xlfn.NORM.DIST(-K208,0,1,TRUE))</f>
        <v>2898.8377454835259</v>
      </c>
      <c r="O208" s="3" t="b">
        <f>(M208-N208)=EXP(-E208*J208)*(D208-G208)</f>
        <v>1</v>
      </c>
    </row>
    <row r="209" spans="1:15" x14ac:dyDescent="0.3">
      <c r="A209" s="1">
        <v>45987</v>
      </c>
      <c r="B209" t="s">
        <v>15</v>
      </c>
      <c r="C209">
        <v>9691.58</v>
      </c>
      <c r="D209">
        <v>10392.815850000001</v>
      </c>
      <c r="E209" s="2">
        <v>3.5561642487390292E-2</v>
      </c>
      <c r="F209" s="1">
        <v>47837</v>
      </c>
      <c r="G209">
        <v>14537.37</v>
      </c>
      <c r="H209">
        <v>0.122601</v>
      </c>
      <c r="J209" s="3">
        <f>(F209-A209)/365</f>
        <v>5.0684931506849313</v>
      </c>
      <c r="K209" s="3">
        <f>(LN(D209/G209)+H209^2*J209/2)/(H209*SQRT(J209))</f>
        <v>-1.0778943080629493</v>
      </c>
      <c r="L209" s="3">
        <f>K209-H209*SQRT(J209)</f>
        <v>-1.3539097911597824</v>
      </c>
      <c r="M209" s="3">
        <f>EXP(-E209*J209)*(D209*_xlfn.NORM.DIST(K209,0,1,TRUE)-G209*_xlfn.NORM.DIST(L209,0,1,TRUE))</f>
        <v>152.84186117129255</v>
      </c>
      <c r="N209" s="3">
        <f>EXP(-E209*J209)*(G209*_xlfn.NORM.DIST(-L209,0,1,TRUE)-D209*_xlfn.NORM.DIST(-K209,0,1,TRUE))</f>
        <v>3613.8201034726385</v>
      </c>
      <c r="O209" s="3" t="b">
        <f>(M209-N209)=EXP(-E209*J209)*(D209-G209)</f>
        <v>0</v>
      </c>
    </row>
    <row r="210" spans="1:15" x14ac:dyDescent="0.3">
      <c r="A210" s="1">
        <v>45987</v>
      </c>
      <c r="B210" t="s">
        <v>15</v>
      </c>
      <c r="C210">
        <v>9691.58</v>
      </c>
      <c r="D210">
        <v>10632.481669999999</v>
      </c>
      <c r="E210" s="2">
        <v>3.6184991495677006E-2</v>
      </c>
      <c r="F210" s="1">
        <v>48201</v>
      </c>
      <c r="G210">
        <v>4845.79</v>
      </c>
      <c r="H210">
        <v>0.236425</v>
      </c>
      <c r="J210" s="3">
        <f>(F210-A210)/365</f>
        <v>6.065753424657534</v>
      </c>
      <c r="K210" s="3">
        <f>(LN(D210/G210)+H210^2*J210/2)/(H210*SQRT(J210))</f>
        <v>1.6406587927653005</v>
      </c>
      <c r="L210" s="3">
        <f>K210-H210*SQRT(J210)</f>
        <v>1.0583735632570941</v>
      </c>
      <c r="M210" s="3">
        <f>EXP(-E210*J210)*(D210*_xlfn.NORM.DIST(K210,0,1,TRUE)-G210*_xlfn.NORM.DIST(L210,0,1,TRUE))</f>
        <v>4779.6850099475396</v>
      </c>
      <c r="N210" s="3">
        <f>EXP(-E210*J210)*(G210*_xlfn.NORM.DIST(-L210,0,1,TRUE)-D210*_xlfn.NORM.DIST(-K210,0,1,TRUE))</f>
        <v>133.38360963115989</v>
      </c>
      <c r="O210" s="3" t="b">
        <f>(M210-N210)=EXP(-E210*J210)*(D210-G210)</f>
        <v>1</v>
      </c>
    </row>
    <row r="211" spans="1:15" x14ac:dyDescent="0.3">
      <c r="A211" s="1">
        <v>45987</v>
      </c>
      <c r="B211" t="s">
        <v>15</v>
      </c>
      <c r="C211">
        <v>9691.58</v>
      </c>
      <c r="D211">
        <v>10632.481669999999</v>
      </c>
      <c r="E211" s="2">
        <v>3.6184991495677006E-2</v>
      </c>
      <c r="F211" s="1">
        <v>48201</v>
      </c>
      <c r="G211">
        <v>5814.9480000000003</v>
      </c>
      <c r="H211">
        <v>0.21545900000000001</v>
      </c>
      <c r="J211" s="3">
        <f>(F211-A211)/365</f>
        <v>6.065753424657534</v>
      </c>
      <c r="K211" s="3">
        <f>(LN(D211/G211)+H211^2*J211/2)/(H211*SQRT(J211))</f>
        <v>1.4025774426349584</v>
      </c>
      <c r="L211" s="3">
        <f>K211-H211*SQRT(J211)</f>
        <v>0.87192885105365925</v>
      </c>
      <c r="M211" s="3">
        <f>EXP(-E211*J211)*(D211*_xlfn.NORM.DIST(K211,0,1,TRUE)-G211*_xlfn.NORM.DIST(L211,0,1,TRUE))</f>
        <v>4076.6839373089192</v>
      </c>
      <c r="N211" s="3">
        <f>EXP(-E211*J211)*(G211*_xlfn.NORM.DIST(-L211,0,1,TRUE)-D211*_xlfn.NORM.DIST(-K211,0,1,TRUE))</f>
        <v>208.54740723658054</v>
      </c>
      <c r="O211" s="3" t="b">
        <f>(M211-N211)=EXP(-E211*J211)*(D211-G211)</f>
        <v>1</v>
      </c>
    </row>
    <row r="212" spans="1:15" x14ac:dyDescent="0.3">
      <c r="A212" s="1">
        <v>45987</v>
      </c>
      <c r="B212" t="s">
        <v>15</v>
      </c>
      <c r="C212">
        <v>9691.58</v>
      </c>
      <c r="D212">
        <v>10632.481669999999</v>
      </c>
      <c r="E212" s="2">
        <v>3.6184991495677006E-2</v>
      </c>
      <c r="F212" s="1">
        <v>48201</v>
      </c>
      <c r="G212">
        <v>6784.1059999999998</v>
      </c>
      <c r="H212">
        <v>0.19739100000000001</v>
      </c>
      <c r="J212" s="3">
        <f>(F212-A212)/365</f>
        <v>6.065753424657534</v>
      </c>
      <c r="K212" s="3">
        <f>(LN(D212/G212)+H212^2*J212/2)/(H212*SQRT(J212))</f>
        <v>1.1673402124526537</v>
      </c>
      <c r="L212" s="3">
        <f>K212-H212*SQRT(J212)</f>
        <v>0.68119084695469723</v>
      </c>
      <c r="M212" s="3">
        <f>EXP(-E212*J212)*(D212*_xlfn.NORM.DIST(K212,0,1,TRUE)-G212*_xlfn.NORM.DIST(L212,0,1,TRUE))</f>
        <v>3402.614586118736</v>
      </c>
      <c r="N212" s="3">
        <f>EXP(-E212*J212)*(G212*_xlfn.NORM.DIST(-L212,0,1,TRUE)-D212*_xlfn.NORM.DIST(-K212,0,1,TRUE))</f>
        <v>312.64292629043769</v>
      </c>
      <c r="O212" s="3" t="b">
        <f>(M212-N212)=EXP(-E212*J212)*(D212-G212)</f>
        <v>1</v>
      </c>
    </row>
    <row r="213" spans="1:15" x14ac:dyDescent="0.3">
      <c r="A213" s="1">
        <v>45987</v>
      </c>
      <c r="B213" t="s">
        <v>15</v>
      </c>
      <c r="C213">
        <v>9691.58</v>
      </c>
      <c r="D213">
        <v>10632.481669999999</v>
      </c>
      <c r="E213" s="2">
        <v>3.6184991495677006E-2</v>
      </c>
      <c r="F213" s="1">
        <v>48201</v>
      </c>
      <c r="G213">
        <v>7753.2640000000001</v>
      </c>
      <c r="H213">
        <v>0.18160000000000001</v>
      </c>
      <c r="J213" s="3">
        <f>(F213-A213)/365</f>
        <v>6.065753424657534</v>
      </c>
      <c r="K213" s="3">
        <f>(LN(D213/G213)+H213^2*J213/2)/(H213*SQRT(J213))</f>
        <v>0.92970839292052743</v>
      </c>
      <c r="L213" s="3">
        <f>K213-H213*SQRT(J213)</f>
        <v>0.48245028705739834</v>
      </c>
      <c r="M213" s="3">
        <f>EXP(-E213*J213)*(D213*_xlfn.NORM.DIST(K213,0,1,TRUE)-G213*_xlfn.NORM.DIST(L213,0,1,TRUE))</f>
        <v>2766.4199871936139</v>
      </c>
      <c r="N213" s="3">
        <f>EXP(-E213*J213)*(G213*_xlfn.NORM.DIST(-L213,0,1,TRUE)-D213*_xlfn.NORM.DIST(-K213,0,1,TRUE))</f>
        <v>454.61319760935692</v>
      </c>
      <c r="O213" s="3" t="b">
        <f>(M213-N213)=EXP(-E213*J213)*(D213-G213)</f>
        <v>1</v>
      </c>
    </row>
    <row r="214" spans="1:15" x14ac:dyDescent="0.3">
      <c r="A214" s="1">
        <v>45987</v>
      </c>
      <c r="B214" t="s">
        <v>15</v>
      </c>
      <c r="C214">
        <v>9691.58</v>
      </c>
      <c r="D214">
        <v>10632.481669999999</v>
      </c>
      <c r="E214" s="2">
        <v>3.6184991495677006E-2</v>
      </c>
      <c r="F214" s="1">
        <v>48201</v>
      </c>
      <c r="G214">
        <v>8722.4219999999987</v>
      </c>
      <c r="H214">
        <v>0.16775999999999999</v>
      </c>
      <c r="J214" s="3">
        <f>(F214-A214)/365</f>
        <v>6.065753424657534</v>
      </c>
      <c r="K214" s="3">
        <f>(LN(D214/G214)+H214^2*J214/2)/(H214*SQRT(J214))</f>
        <v>0.68584571653434001</v>
      </c>
      <c r="L214" s="3">
        <f>K214-H214*SQRT(J214)</f>
        <v>0.27267380111804856</v>
      </c>
      <c r="M214" s="3">
        <f>EXP(-E214*J214)*(D214*_xlfn.NORM.DIST(K214,0,1,TRUE)-G214*_xlfn.NORM.DIST(L214,0,1,TRUE))</f>
        <v>2179.2812228585599</v>
      </c>
      <c r="N214" s="3">
        <f>EXP(-E214*J214)*(G214*_xlfn.NORM.DIST(-L214,0,1,TRUE)-D214*_xlfn.NORM.DIST(-K214,0,1,TRUE))</f>
        <v>645.63930351834313</v>
      </c>
      <c r="O214" s="3" t="b">
        <f>(M214-N214)=EXP(-E214*J214)*(D214-G214)</f>
        <v>1</v>
      </c>
    </row>
    <row r="215" spans="1:15" x14ac:dyDescent="0.3">
      <c r="A215" s="1">
        <v>45987</v>
      </c>
      <c r="B215" t="s">
        <v>15</v>
      </c>
      <c r="C215">
        <v>9691.58</v>
      </c>
      <c r="D215">
        <v>10632.481669999999</v>
      </c>
      <c r="E215" s="2">
        <v>3.6184991495677006E-2</v>
      </c>
      <c r="F215" s="1">
        <v>48201</v>
      </c>
      <c r="G215">
        <v>9207.0010000000002</v>
      </c>
      <c r="H215">
        <v>0.16153100000000001</v>
      </c>
      <c r="J215" s="3">
        <f>(F215-A215)/365</f>
        <v>6.065753424657534</v>
      </c>
      <c r="K215" s="3">
        <f>(LN(D215/G215)+H215^2*J215/2)/(H215*SQRT(J215))</f>
        <v>0.56075131858741989</v>
      </c>
      <c r="L215" s="3">
        <f>K215-H215*SQRT(J215)</f>
        <v>0.16292065174723758</v>
      </c>
      <c r="M215" s="3">
        <f>EXP(-E215*J215)*(D215*_xlfn.NORM.DIST(K215,0,1,TRUE)-G215*_xlfn.NORM.DIST(L215,0,1,TRUE))</f>
        <v>1908.1898979325517</v>
      </c>
      <c r="N215" s="3">
        <f>EXP(-E215*J215)*(G215*_xlfn.NORM.DIST(-L215,0,1,TRUE)-D215*_xlfn.NORM.DIST(-K215,0,1,TRUE))</f>
        <v>763.63041371435622</v>
      </c>
      <c r="O215" s="3" t="b">
        <f>(M215-N215)=EXP(-E215*J215)*(D215-G215)</f>
        <v>1</v>
      </c>
    </row>
    <row r="216" spans="1:15" x14ac:dyDescent="0.3">
      <c r="A216" s="1">
        <v>45987</v>
      </c>
      <c r="B216" t="s">
        <v>15</v>
      </c>
      <c r="C216">
        <v>9691.58</v>
      </c>
      <c r="D216">
        <v>10632.481669999999</v>
      </c>
      <c r="E216" s="2">
        <v>3.6184991495677006E-2</v>
      </c>
      <c r="F216" s="1">
        <v>48201</v>
      </c>
      <c r="G216">
        <v>9691.58</v>
      </c>
      <c r="H216">
        <v>0.15576200000000001</v>
      </c>
      <c r="J216" s="3">
        <f>(F216-A216)/365</f>
        <v>6.065753424657534</v>
      </c>
      <c r="K216" s="3">
        <f>(LN(D216/G216)+H216^2*J216/2)/(H216*SQRT(J216))</f>
        <v>0.4333407869655167</v>
      </c>
      <c r="L216" s="3">
        <f>K216-H216*SQRT(J216)</f>
        <v>4.9718446186592047E-2</v>
      </c>
      <c r="M216" s="3">
        <f>EXP(-E216*J216)*(D216*_xlfn.NORM.DIST(K216,0,1,TRUE)-G216*_xlfn.NORM.DIST(L216,0,1,TRUE))</f>
        <v>1654.4169574468065</v>
      </c>
      <c r="N216" s="3">
        <f>EXP(-E216*J216)*(G216*_xlfn.NORM.DIST(-L216,0,1,TRUE)-D216*_xlfn.NORM.DIST(-K216,0,1,TRUE))</f>
        <v>898.93990835063187</v>
      </c>
      <c r="O216" s="3" t="b">
        <f>(M216-N216)=EXP(-E216*J216)*(D216-G216)</f>
        <v>1</v>
      </c>
    </row>
    <row r="217" spans="1:15" x14ac:dyDescent="0.3">
      <c r="A217" s="1">
        <v>45987</v>
      </c>
      <c r="B217" t="s">
        <v>15</v>
      </c>
      <c r="C217">
        <v>9691.58</v>
      </c>
      <c r="D217">
        <v>10632.481669999999</v>
      </c>
      <c r="E217" s="2">
        <v>3.6184991495677006E-2</v>
      </c>
      <c r="F217" s="1">
        <v>48201</v>
      </c>
      <c r="G217">
        <v>10176.159</v>
      </c>
      <c r="H217">
        <v>0.15046300000000001</v>
      </c>
      <c r="J217" s="3">
        <f>(F217-A217)/365</f>
        <v>6.065753424657534</v>
      </c>
      <c r="K217" s="3">
        <f>(LN(D217/G217)+H217^2*J217/2)/(H217*SQRT(J217))</f>
        <v>0.30365965928321742</v>
      </c>
      <c r="L217" s="3">
        <f>K217-H217*SQRT(J217)</f>
        <v>-6.6911906699623935E-2</v>
      </c>
      <c r="M217" s="3">
        <f>EXP(-E217*J217)*(D217*_xlfn.NORM.DIST(K217,0,1,TRUE)-G217*_xlfn.NORM.DIST(L217,0,1,TRUE))</f>
        <v>1419.6778292151896</v>
      </c>
      <c r="N217" s="3">
        <f>EXP(-E217*J217)*(G217*_xlfn.NORM.DIST(-L217,0,1,TRUE)-D217*_xlfn.NORM.DIST(-K217,0,1,TRUE))</f>
        <v>1053.2832152410344</v>
      </c>
      <c r="O217" s="3" t="b">
        <f>(M217-N217)=EXP(-E217*J217)*(D217-G217)</f>
        <v>1</v>
      </c>
    </row>
    <row r="218" spans="1:15" x14ac:dyDescent="0.3">
      <c r="A218" s="1">
        <v>45987</v>
      </c>
      <c r="B218" t="s">
        <v>15</v>
      </c>
      <c r="C218">
        <v>9691.58</v>
      </c>
      <c r="D218">
        <v>10632.481669999999</v>
      </c>
      <c r="E218" s="2">
        <v>3.6184991495677006E-2</v>
      </c>
      <c r="F218" s="1">
        <v>48201</v>
      </c>
      <c r="G218">
        <v>10660.738000000001</v>
      </c>
      <c r="H218">
        <v>0.14565500000000001</v>
      </c>
      <c r="J218" s="3">
        <f>(F218-A218)/365</f>
        <v>6.065753424657534</v>
      </c>
      <c r="K218" s="3">
        <f>(LN(D218/G218)+H218^2*J218/2)/(H218*SQRT(J218))</f>
        <v>0.17196664694314515</v>
      </c>
      <c r="L218" s="3">
        <f>K218-H218*SQRT(J218)</f>
        <v>-0.18676341588446535</v>
      </c>
      <c r="M218" s="3">
        <f>EXP(-E218*J218)*(D218*_xlfn.NORM.DIST(K218,0,1,TRUE)-G218*_xlfn.NORM.DIST(L218,0,1,TRUE))</f>
        <v>1205.5544012971832</v>
      </c>
      <c r="N218" s="3">
        <f>EXP(-E218*J218)*(G218*_xlfn.NORM.DIST(-L218,0,1,TRUE)-D218*_xlfn.NORM.DIST(-K218,0,1,TRUE))</f>
        <v>1228.2422224450493</v>
      </c>
      <c r="O218" s="3" t="b">
        <f>(M218-N218)=EXP(-E218*J218)*(D218-G218)</f>
        <v>0</v>
      </c>
    </row>
    <row r="219" spans="1:15" x14ac:dyDescent="0.3">
      <c r="A219" s="1">
        <v>45987</v>
      </c>
      <c r="B219" t="s">
        <v>15</v>
      </c>
      <c r="C219">
        <v>9691.58</v>
      </c>
      <c r="D219">
        <v>10632.481669999999</v>
      </c>
      <c r="E219" s="2">
        <v>3.6184991495677006E-2</v>
      </c>
      <c r="F219" s="1">
        <v>48201</v>
      </c>
      <c r="G219">
        <v>11629.896000000001</v>
      </c>
      <c r="H219">
        <v>0.137603</v>
      </c>
      <c r="J219" s="3">
        <f>(F219-A219)/365</f>
        <v>6.065753424657534</v>
      </c>
      <c r="K219" s="3">
        <f>(LN(D219/G219)+H219^2*J219/2)/(H219*SQRT(J219))</f>
        <v>-9.5129040876335849E-2</v>
      </c>
      <c r="L219" s="3">
        <f>K219-H219*SQRT(J219)</f>
        <v>-0.43402803394397982</v>
      </c>
      <c r="M219" s="3">
        <f>EXP(-E219*J219)*(D219*_xlfn.NORM.DIST(K219,0,1,TRUE)-G219*_xlfn.NORM.DIST(L219,0,1,TRUE))</f>
        <v>843.59792397937269</v>
      </c>
      <c r="N219" s="3">
        <f>EXP(-E219*J219)*(G219*_xlfn.NORM.DIST(-L219,0,1,TRUE)-D219*_xlfn.NORM.DIST(-K219,0,1,TRUE))</f>
        <v>1644.4506153712796</v>
      </c>
      <c r="O219" s="3" t="b">
        <f>(M219-N219)=EXP(-E219*J219)*(D219-G219)</f>
        <v>1</v>
      </c>
    </row>
    <row r="220" spans="1:15" x14ac:dyDescent="0.3">
      <c r="A220" s="1">
        <v>45987</v>
      </c>
      <c r="B220" t="s">
        <v>15</v>
      </c>
      <c r="C220">
        <v>9691.58</v>
      </c>
      <c r="D220">
        <v>10632.481669999999</v>
      </c>
      <c r="E220" s="2">
        <v>3.6184991495677006E-2</v>
      </c>
      <c r="F220" s="1">
        <v>48201</v>
      </c>
      <c r="G220">
        <v>12599.053999999998</v>
      </c>
      <c r="H220">
        <v>0.13176399999999999</v>
      </c>
      <c r="J220" s="3">
        <f>(F220-A220)/365</f>
        <v>6.065753424657534</v>
      </c>
      <c r="K220" s="3">
        <f>(LN(D220/G220)+H220^2*J220/2)/(H220*SQRT(J220))</f>
        <v>-0.3606948130118543</v>
      </c>
      <c r="L220" s="3">
        <f>K220-H220*SQRT(J220)</f>
        <v>-0.68521307876598059</v>
      </c>
      <c r="M220" s="3">
        <f>EXP(-E220*J220)*(D220*_xlfn.NORM.DIST(K220,0,1,TRUE)-G220*_xlfn.NORM.DIST(L220,0,1,TRUE))</f>
        <v>571.53768655272768</v>
      </c>
      <c r="N220" s="3">
        <f>EXP(-E220*J220)*(G220*_xlfn.NORM.DIST(-L220,0,1,TRUE)-D220*_xlfn.NORM.DIST(-K220,0,1,TRUE))</f>
        <v>2150.555248188673</v>
      </c>
      <c r="O220" s="3" t="b">
        <f>(M220-N220)=EXP(-E220*J220)*(D220-G220)</f>
        <v>1</v>
      </c>
    </row>
    <row r="221" spans="1:15" x14ac:dyDescent="0.3">
      <c r="A221" s="1">
        <v>45987</v>
      </c>
      <c r="B221" t="s">
        <v>15</v>
      </c>
      <c r="C221">
        <v>9691.58</v>
      </c>
      <c r="D221">
        <v>10632.481669999999</v>
      </c>
      <c r="E221" s="2">
        <v>3.6184991495677006E-2</v>
      </c>
      <c r="F221" s="1">
        <v>48201</v>
      </c>
      <c r="G221">
        <v>13568.212</v>
      </c>
      <c r="H221">
        <v>0.12814200000000001</v>
      </c>
      <c r="J221" s="3">
        <f>(F221-A221)/365</f>
        <v>6.065753424657534</v>
      </c>
      <c r="K221" s="3">
        <f>(LN(D221/G221)+H221^2*J221/2)/(H221*SQRT(J221))</f>
        <v>-0.61475446585553717</v>
      </c>
      <c r="L221" s="3">
        <f>K221-H221*SQRT(J221)</f>
        <v>-0.93035219824272375</v>
      </c>
      <c r="M221" s="3">
        <f>EXP(-E221*J221)*(D221*_xlfn.NORM.DIST(K221,0,1,TRUE)-G221*_xlfn.NORM.DIST(L221,0,1,TRUE))</f>
        <v>381.12044901237709</v>
      </c>
      <c r="N221" s="3">
        <f>EXP(-E221*J221)*(G221*_xlfn.NORM.DIST(-L221,0,1,TRUE)-D221*_xlfn.NORM.DIST(-K221,0,1,TRUE))</f>
        <v>2738.302880892365</v>
      </c>
      <c r="O221" s="3" t="b">
        <f>(M221-N221)=EXP(-E221*J221)*(D221-G221)</f>
        <v>1</v>
      </c>
    </row>
    <row r="222" spans="1:15" x14ac:dyDescent="0.3">
      <c r="A222" s="1">
        <v>45987</v>
      </c>
      <c r="B222" t="s">
        <v>15</v>
      </c>
      <c r="C222">
        <v>9691.58</v>
      </c>
      <c r="D222">
        <v>10632.481669999999</v>
      </c>
      <c r="E222" s="2">
        <v>3.6184991495677006E-2</v>
      </c>
      <c r="F222" s="1">
        <v>48201</v>
      </c>
      <c r="G222">
        <v>14537.37</v>
      </c>
      <c r="H222">
        <v>0.1265</v>
      </c>
      <c r="J222" s="3">
        <f>(F222-A222)/365</f>
        <v>6.065753424657534</v>
      </c>
      <c r="K222" s="3">
        <f>(LN(D222/G222)+H222^2*J222/2)/(H222*SQRT(J222))</f>
        <v>-0.84825218573460304</v>
      </c>
      <c r="L222" s="3">
        <f>K222-H222*SQRT(J222)</f>
        <v>-1.159805877318776</v>
      </c>
      <c r="M222" s="3">
        <f>EXP(-E222*J222)*(D222*_xlfn.NORM.DIST(K222,0,1,TRUE)-G222*_xlfn.NORM.DIST(L222,0,1,TRUE))</f>
        <v>255.16061404734441</v>
      </c>
      <c r="N222" s="3">
        <f>EXP(-E222*J222)*(G222*_xlfn.NORM.DIST(-L222,0,1,TRUE)-D222*_xlfn.NORM.DIST(-K222,0,1,TRUE))</f>
        <v>3390.5079161713757</v>
      </c>
      <c r="O222" s="3" t="b">
        <f>(M222-N222)=EXP(-E222*J222)*(D222-G222)</f>
        <v>1</v>
      </c>
    </row>
    <row r="223" spans="1:15" x14ac:dyDescent="0.3">
      <c r="A223" s="1">
        <v>45987</v>
      </c>
      <c r="B223" t="s">
        <v>15</v>
      </c>
      <c r="C223">
        <v>9691.58</v>
      </c>
      <c r="D223">
        <v>10906.59483</v>
      </c>
      <c r="E223" s="2">
        <v>3.6884371882671407E-2</v>
      </c>
      <c r="F223" s="1">
        <v>48565</v>
      </c>
      <c r="G223">
        <v>4845.79</v>
      </c>
      <c r="H223">
        <v>0.23460500000000001</v>
      </c>
      <c r="J223" s="3">
        <f>(F223-A223)/365</f>
        <v>7.0630136986301366</v>
      </c>
      <c r="K223" s="3">
        <f>(LN(D223/G223)+H223^2*J223/2)/(H223*SQRT(J223))</f>
        <v>1.6128939818971966</v>
      </c>
      <c r="L223" s="3">
        <f>K223-H223*SQRT(J223)</f>
        <v>0.98939996827684829</v>
      </c>
      <c r="M223" s="3">
        <f>EXP(-E223*J223)*(D223*_xlfn.NORM.DIST(K223,0,1,TRUE)-G223*_xlfn.NORM.DIST(L223,0,1,TRUE))</f>
        <v>4824.2019323480336</v>
      </c>
      <c r="N223" s="3">
        <f>EXP(-E223*J223)*(G223*_xlfn.NORM.DIST(-L223,0,1,TRUE)-D223*_xlfn.NORM.DIST(-K223,0,1,TRUE))</f>
        <v>153.41400914519929</v>
      </c>
      <c r="O223" s="3" t="b">
        <f>(M223-N223)=EXP(-E223*J223)*(D223-G223)</f>
        <v>0</v>
      </c>
    </row>
    <row r="224" spans="1:15" x14ac:dyDescent="0.3">
      <c r="A224" s="1">
        <v>45987</v>
      </c>
      <c r="B224" t="s">
        <v>15</v>
      </c>
      <c r="C224">
        <v>9691.58</v>
      </c>
      <c r="D224">
        <v>10906.59483</v>
      </c>
      <c r="E224" s="2">
        <v>3.6884371882671407E-2</v>
      </c>
      <c r="F224" s="1">
        <v>48565</v>
      </c>
      <c r="G224">
        <v>5814.9480000000003</v>
      </c>
      <c r="H224">
        <v>0.21481</v>
      </c>
      <c r="J224" s="3">
        <f>(F224-A224)/365</f>
        <v>7.0630136986301366</v>
      </c>
      <c r="K224" s="3">
        <f>(LN(D224/G224)+H224^2*J224/2)/(H224*SQRT(J224))</f>
        <v>1.3871264485331181</v>
      </c>
      <c r="L224" s="3">
        <f>K224-H224*SQRT(J224)</f>
        <v>0.81624028214371036</v>
      </c>
      <c r="M224" s="3">
        <f>EXP(-E224*J224)*(D224*_xlfn.NORM.DIST(K224,0,1,TRUE)-G224*_xlfn.NORM.DIST(L224,0,1,TRUE))</f>
        <v>4157.2220313874222</v>
      </c>
      <c r="N224" s="3">
        <f>EXP(-E224*J224)*(G224*_xlfn.NORM.DIST(-L224,0,1,TRUE)-D224*_xlfn.NORM.DIST(-K224,0,1,TRUE))</f>
        <v>233.32030713770843</v>
      </c>
      <c r="O224" s="3" t="b">
        <f>(M224-N224)=EXP(-E224*J224)*(D224-G224)</f>
        <v>1</v>
      </c>
    </row>
    <row r="225" spans="1:15" x14ac:dyDescent="0.3">
      <c r="A225" s="1">
        <v>45987</v>
      </c>
      <c r="B225" t="s">
        <v>15</v>
      </c>
      <c r="C225">
        <v>9691.58</v>
      </c>
      <c r="D225">
        <v>10906.59483</v>
      </c>
      <c r="E225" s="2">
        <v>3.6884371882671407E-2</v>
      </c>
      <c r="F225" s="1">
        <v>48565</v>
      </c>
      <c r="G225">
        <v>6784.1059999999998</v>
      </c>
      <c r="H225">
        <v>0.19781299999999999</v>
      </c>
      <c r="J225" s="3">
        <f>(F225-A225)/365</f>
        <v>7.0630136986301366</v>
      </c>
      <c r="K225" s="3">
        <f>(LN(D225/G225)+H225^2*J225/2)/(H225*SQRT(J225))</f>
        <v>1.1659808888018945</v>
      </c>
      <c r="L225" s="3">
        <f>K225-H225*SQRT(J225)</f>
        <v>0.64026651222730346</v>
      </c>
      <c r="M225" s="3">
        <f>EXP(-E225*J225)*(D225*_xlfn.NORM.DIST(K225,0,1,TRUE)-G225*_xlfn.NORM.DIST(L225,0,1,TRUE))</f>
        <v>3517.7260601374487</v>
      </c>
      <c r="N225" s="3">
        <f>EXP(-E225*J225)*(G225*_xlfn.NORM.DIST(-L225,0,1,TRUE)-D225*_xlfn.NORM.DIST(-K225,0,1,TRUE))</f>
        <v>340.71053484085377</v>
      </c>
      <c r="O225" s="3" t="b">
        <f>(M225-N225)=EXP(-E225*J225)*(D225-G225)</f>
        <v>0</v>
      </c>
    </row>
    <row r="226" spans="1:15" x14ac:dyDescent="0.3">
      <c r="A226" s="1">
        <v>45987</v>
      </c>
      <c r="B226" t="s">
        <v>15</v>
      </c>
      <c r="C226">
        <v>9691.58</v>
      </c>
      <c r="D226">
        <v>10906.59483</v>
      </c>
      <c r="E226" s="2">
        <v>3.6884371882671407E-2</v>
      </c>
      <c r="F226" s="1">
        <v>48565</v>
      </c>
      <c r="G226">
        <v>7753.2640000000001</v>
      </c>
      <c r="H226">
        <v>0.18301300000000001</v>
      </c>
      <c r="J226" s="3">
        <f>(F226-A226)/365</f>
        <v>7.0630136986301366</v>
      </c>
      <c r="K226" s="3">
        <f>(LN(D226/G226)+H226^2*J226/2)/(H226*SQRT(J226))</f>
        <v>0.94480823203947006</v>
      </c>
      <c r="L226" s="3">
        <f>K226-H226*SQRT(J226)</f>
        <v>0.45842682535717089</v>
      </c>
      <c r="M226" s="3">
        <f>EXP(-E226*J226)*(D226*_xlfn.NORM.DIST(K226,0,1,TRUE)-G226*_xlfn.NORM.DIST(L226,0,1,TRUE))</f>
        <v>2913.1345493991885</v>
      </c>
      <c r="N226" s="3">
        <f>EXP(-E226*J226)*(G226*_xlfn.NORM.DIST(-L226,0,1,TRUE)-D226*_xlfn.NORM.DIST(-K226,0,1,TRUE))</f>
        <v>483.00522305571531</v>
      </c>
      <c r="O226" s="3" t="b">
        <f>(M226-N226)=EXP(-E226*J226)*(D226-G226)</f>
        <v>1</v>
      </c>
    </row>
    <row r="227" spans="1:15" x14ac:dyDescent="0.3">
      <c r="A227" s="1">
        <v>45987</v>
      </c>
      <c r="B227" t="s">
        <v>15</v>
      </c>
      <c r="C227">
        <v>9691.58</v>
      </c>
      <c r="D227">
        <v>10906.59483</v>
      </c>
      <c r="E227" s="2">
        <v>3.6884371882671407E-2</v>
      </c>
      <c r="F227" s="1">
        <v>48565</v>
      </c>
      <c r="G227">
        <v>8722.4219999999987</v>
      </c>
      <c r="H227">
        <v>0.17008699999999999</v>
      </c>
      <c r="J227" s="3">
        <f>(F227-A227)/365</f>
        <v>7.0630136986301366</v>
      </c>
      <c r="K227" s="3">
        <f>(LN(D227/G227)+H227^2*J227/2)/(H227*SQRT(J227))</f>
        <v>0.72038704582008828</v>
      </c>
      <c r="L227" s="3">
        <f>K227-H227*SQRT(J227)</f>
        <v>0.26835820459912468</v>
      </c>
      <c r="M227" s="3">
        <f>EXP(-E227*J227)*(D227*_xlfn.NORM.DIST(K227,0,1,TRUE)-G227*_xlfn.NORM.DIST(L227,0,1,TRUE))</f>
        <v>2352.4912867567523</v>
      </c>
      <c r="N227" s="3">
        <f>EXP(-E227*J227)*(G227*_xlfn.NORM.DIST(-L227,0,1,TRUE)-D227*_xlfn.NORM.DIST(-K227,0,1,TRUE))</f>
        <v>669.24815936639766</v>
      </c>
      <c r="O227" s="3" t="b">
        <f>(M227-N227)=EXP(-E227*J227)*(D227-G227)</f>
        <v>1</v>
      </c>
    </row>
    <row r="228" spans="1:15" x14ac:dyDescent="0.3">
      <c r="A228" s="1">
        <v>45987</v>
      </c>
      <c r="B228" t="s">
        <v>15</v>
      </c>
      <c r="C228">
        <v>9691.58</v>
      </c>
      <c r="D228">
        <v>10906.59483</v>
      </c>
      <c r="E228" s="2">
        <v>3.6884371882671407E-2</v>
      </c>
      <c r="F228" s="1">
        <v>48565</v>
      </c>
      <c r="G228">
        <v>9207.0010000000002</v>
      </c>
      <c r="H228">
        <v>0.16427800000000001</v>
      </c>
      <c r="J228" s="3">
        <f>(F228-A228)/365</f>
        <v>7.0630136986301366</v>
      </c>
      <c r="K228" s="3">
        <f>(LN(D228/G228)+H228^2*J228/2)/(H228*SQRT(J228))</f>
        <v>0.60630973516485076</v>
      </c>
      <c r="L228" s="3">
        <f>K228-H228*SQRT(J228)</f>
        <v>0.16971908462661173</v>
      </c>
      <c r="M228" s="3">
        <f>EXP(-E228*J228)*(D228*_xlfn.NORM.DIST(K228,0,1,TRUE)-G228*_xlfn.NORM.DIST(L228,0,1,TRUE))</f>
        <v>2091.8698950893577</v>
      </c>
      <c r="N228" s="3">
        <f>EXP(-E228*J228)*(G228*_xlfn.NORM.DIST(-L228,0,1,TRUE)-D228*_xlfn.NORM.DIST(-K228,0,1,TRUE))</f>
        <v>782.06986717556492</v>
      </c>
      <c r="O228" s="3" t="b">
        <f>(M228-N228)=EXP(-E228*J228)*(D228-G228)</f>
        <v>1</v>
      </c>
    </row>
    <row r="229" spans="1:15" x14ac:dyDescent="0.3">
      <c r="A229" s="1">
        <v>45987</v>
      </c>
      <c r="B229" t="s">
        <v>15</v>
      </c>
      <c r="C229">
        <v>9691.58</v>
      </c>
      <c r="D229">
        <v>10906.59483</v>
      </c>
      <c r="E229" s="2">
        <v>3.6884371882671407E-2</v>
      </c>
      <c r="F229" s="1">
        <v>48565</v>
      </c>
      <c r="G229">
        <v>9691.58</v>
      </c>
      <c r="H229">
        <v>0.15889700000000001</v>
      </c>
      <c r="J229" s="3">
        <f>(F229-A229)/365</f>
        <v>7.0630136986301366</v>
      </c>
      <c r="K229" s="3">
        <f>(LN(D229/G229)+H229^2*J229/2)/(H229*SQRT(J229))</f>
        <v>0.49083472569315018</v>
      </c>
      <c r="L229" s="3">
        <f>K229-H229*SQRT(J229)</f>
        <v>6.8544798870480261E-2</v>
      </c>
      <c r="M229" s="3">
        <f>EXP(-E229*J229)*(D229*_xlfn.NORM.DIST(K229,0,1,TRUE)-G229*_xlfn.NORM.DIST(L229,0,1,TRUE))</f>
        <v>1846.1994184666771</v>
      </c>
      <c r="N229" s="3">
        <f>EXP(-E229*J229)*(G229*_xlfn.NORM.DIST(-L229,0,1,TRUE)-D229*_xlfn.NORM.DIST(-K229,0,1,TRUE))</f>
        <v>909.84249002944443</v>
      </c>
      <c r="O229" s="3" t="b">
        <f>(M229-N229)=EXP(-E229*J229)*(D229-G229)</f>
        <v>1</v>
      </c>
    </row>
    <row r="230" spans="1:15" x14ac:dyDescent="0.3">
      <c r="A230" s="1">
        <v>45987</v>
      </c>
      <c r="B230" t="s">
        <v>15</v>
      </c>
      <c r="C230">
        <v>9691.58</v>
      </c>
      <c r="D230">
        <v>10906.59483</v>
      </c>
      <c r="E230" s="2">
        <v>3.6884371882671407E-2</v>
      </c>
      <c r="F230" s="1">
        <v>48565</v>
      </c>
      <c r="G230">
        <v>10176.159</v>
      </c>
      <c r="H230">
        <v>0.153947</v>
      </c>
      <c r="J230" s="3">
        <f>(F230-A230)/365</f>
        <v>7.0630136986301366</v>
      </c>
      <c r="K230" s="3">
        <f>(LN(D230/G230)+H230^2*J230/2)/(H230*SQRT(J230))</f>
        <v>0.37399810978129638</v>
      </c>
      <c r="L230" s="3">
        <f>K230-H230*SQRT(J230)</f>
        <v>-3.5136533192262343E-2</v>
      </c>
      <c r="M230" s="3">
        <f>EXP(-E230*J230)*(D230*_xlfn.NORM.DIST(K230,0,1,TRUE)-G230*_xlfn.NORM.DIST(L230,0,1,TRUE))</f>
        <v>1616.8202773351072</v>
      </c>
      <c r="N230" s="3">
        <f>EXP(-E230*J230)*(G230*_xlfn.NORM.DIST(-L230,0,1,TRUE)-D230*_xlfn.NORM.DIST(-K230,0,1,TRUE))</f>
        <v>1053.9064483744337</v>
      </c>
      <c r="O230" s="3" t="b">
        <f>(M230-N230)=EXP(-E230*J230)*(D230-G230)</f>
        <v>0</v>
      </c>
    </row>
    <row r="231" spans="1:15" x14ac:dyDescent="0.3">
      <c r="A231" s="1">
        <v>45987</v>
      </c>
      <c r="B231" t="s">
        <v>15</v>
      </c>
      <c r="C231">
        <v>9691.58</v>
      </c>
      <c r="D231">
        <v>10906.59483</v>
      </c>
      <c r="E231" s="2">
        <v>3.6884371882671407E-2</v>
      </c>
      <c r="F231" s="1">
        <v>48565</v>
      </c>
      <c r="G231">
        <v>10660.738000000001</v>
      </c>
      <c r="H231">
        <v>0.14943799999999999</v>
      </c>
      <c r="J231" s="3">
        <f>(F231-A231)/365</f>
        <v>7.0630136986301366</v>
      </c>
      <c r="K231" s="3">
        <f>(LN(D231/G231)+H231^2*J231/2)/(H231*SQRT(J231))</f>
        <v>0.2559845016786147</v>
      </c>
      <c r="L231" s="3">
        <f>K231-H231*SQRT(J231)</f>
        <v>-0.14116687364329911</v>
      </c>
      <c r="M231" s="3">
        <f>EXP(-E231*J231)*(D231*_xlfn.NORM.DIST(K231,0,1,TRUE)-G231*_xlfn.NORM.DIST(L231,0,1,TRUE))</f>
        <v>1404.9764825954203</v>
      </c>
      <c r="N231" s="3">
        <f>EXP(-E231*J231)*(G231*_xlfn.NORM.DIST(-L231,0,1,TRUE)-D231*_xlfn.NORM.DIST(-K231,0,1,TRUE))</f>
        <v>1215.5057531113093</v>
      </c>
      <c r="O231" s="3" t="b">
        <f>(M231-N231)=EXP(-E231*J231)*(D231-G231)</f>
        <v>0</v>
      </c>
    </row>
    <row r="232" spans="1:15" x14ac:dyDescent="0.3">
      <c r="A232" s="1">
        <v>45987</v>
      </c>
      <c r="B232" t="s">
        <v>15</v>
      </c>
      <c r="C232">
        <v>9691.58</v>
      </c>
      <c r="D232">
        <v>10906.59483</v>
      </c>
      <c r="E232" s="2">
        <v>3.6884371882671407E-2</v>
      </c>
      <c r="F232" s="1">
        <v>48565</v>
      </c>
      <c r="G232">
        <v>11629.896000000001</v>
      </c>
      <c r="H232">
        <v>0.141791</v>
      </c>
      <c r="J232" s="3">
        <f>(F232-A232)/365</f>
        <v>7.0630136986301366</v>
      </c>
      <c r="K232" s="3">
        <f>(LN(D232/G232)+H232^2*J232/2)/(H232*SQRT(J232))</f>
        <v>1.8014708315690697E-2</v>
      </c>
      <c r="L232" s="3">
        <f>K232-H232*SQRT(J232)</f>
        <v>-0.35881374668417204</v>
      </c>
      <c r="M232" s="3">
        <f>EXP(-E232*J232)*(D232*_xlfn.NORM.DIST(K232,0,1,TRUE)-G232*_xlfn.NORM.DIST(L232,0,1,TRUE))</f>
        <v>1037.6547933909071</v>
      </c>
      <c r="N232" s="3">
        <f>EXP(-E232*J232)*(G232*_xlfn.NORM.DIST(-L232,0,1,TRUE)-D232*_xlfn.NORM.DIST(-K232,0,1,TRUE))</f>
        <v>1595.0702628599147</v>
      </c>
      <c r="O232" s="3" t="b">
        <f>(M232-N232)=EXP(-E232*J232)*(D232-G232)</f>
        <v>1</v>
      </c>
    </row>
    <row r="233" spans="1:15" x14ac:dyDescent="0.3">
      <c r="A233" s="1">
        <v>45987</v>
      </c>
      <c r="B233" t="s">
        <v>15</v>
      </c>
      <c r="C233">
        <v>9691.58</v>
      </c>
      <c r="D233">
        <v>10906.59483</v>
      </c>
      <c r="E233" s="2">
        <v>3.6884371882671407E-2</v>
      </c>
      <c r="F233" s="1">
        <v>48565</v>
      </c>
      <c r="G233">
        <v>12599.053999999998</v>
      </c>
      <c r="H233">
        <v>0.136047</v>
      </c>
      <c r="J233" s="3">
        <f>(F233-A233)/365</f>
        <v>7.0630136986301366</v>
      </c>
      <c r="K233" s="3">
        <f>(LN(D233/G233)+H233^2*J233/2)/(H233*SQRT(J233))</f>
        <v>-0.21819209284875812</v>
      </c>
      <c r="L233" s="3">
        <f>K233-H233*SQRT(J233)</f>
        <v>-0.57975510331745017</v>
      </c>
      <c r="M233" s="3">
        <f>EXP(-E233*J233)*(D233*_xlfn.NORM.DIST(K233,0,1,TRUE)-G233*_xlfn.NORM.DIST(L233,0,1,TRUE))</f>
        <v>747.96983561524098</v>
      </c>
      <c r="N233" s="3">
        <f>EXP(-E233*J233)*(G233*_xlfn.NORM.DIST(-L233,0,1,TRUE)-D233*_xlfn.NORM.DIST(-K233,0,1,TRUE))</f>
        <v>2052.2715040373678</v>
      </c>
      <c r="O233" s="3" t="b">
        <f>(M233-N233)=EXP(-E233*J233)*(D233-G233)</f>
        <v>1</v>
      </c>
    </row>
    <row r="234" spans="1:15" x14ac:dyDescent="0.3">
      <c r="A234" s="1">
        <v>45987</v>
      </c>
      <c r="B234" t="s">
        <v>15</v>
      </c>
      <c r="C234">
        <v>9691.58</v>
      </c>
      <c r="D234">
        <v>10906.59483</v>
      </c>
      <c r="E234" s="2">
        <v>3.6884371882671407E-2</v>
      </c>
      <c r="F234" s="1">
        <v>48565</v>
      </c>
      <c r="G234">
        <v>13568.212</v>
      </c>
      <c r="H234">
        <v>0.13220599999999999</v>
      </c>
      <c r="J234" s="3">
        <f>(F234-A234)/365</f>
        <v>7.0630136986301366</v>
      </c>
      <c r="K234" s="3">
        <f>(LN(D234/G234)+H234^2*J234/2)/(H234*SQRT(J234))</f>
        <v>-0.44580798934791482</v>
      </c>
      <c r="L234" s="3">
        <f>K234-H234*SQRT(J234)</f>
        <v>-0.79716303107631681</v>
      </c>
      <c r="M234" s="3">
        <f>EXP(-E234*J234)*(D234*_xlfn.NORM.DIST(K234,0,1,TRUE)-G234*_xlfn.NORM.DIST(L234,0,1,TRUE))</f>
        <v>531.95257666546559</v>
      </c>
      <c r="N234" s="3">
        <f>EXP(-E234*J234)*(G234*_xlfn.NORM.DIST(-L234,0,1,TRUE)-D234*_xlfn.NORM.DIST(-K234,0,1,TRUE))</f>
        <v>2583.1404440407136</v>
      </c>
      <c r="O234" s="3" t="b">
        <f>(M234-N234)=EXP(-E234*J234)*(D234-G234)</f>
        <v>1</v>
      </c>
    </row>
    <row r="235" spans="1:15" x14ac:dyDescent="0.3">
      <c r="A235" s="1">
        <v>45987</v>
      </c>
      <c r="B235" t="s">
        <v>15</v>
      </c>
      <c r="C235">
        <v>9691.58</v>
      </c>
      <c r="D235">
        <v>10906.59483</v>
      </c>
      <c r="E235" s="2">
        <v>3.6884371882671407E-2</v>
      </c>
      <c r="F235" s="1">
        <v>48565</v>
      </c>
      <c r="G235">
        <v>14537.37</v>
      </c>
      <c r="H235">
        <v>0.13011200000000001</v>
      </c>
      <c r="J235" s="3">
        <f>(F235-A235)/365</f>
        <v>7.0630136986301366</v>
      </c>
      <c r="K235" s="3">
        <f>(LN(D235/G235)+H235^2*J235/2)/(H235*SQRT(J235))</f>
        <v>-0.65811509575122873</v>
      </c>
      <c r="L235" s="3">
        <f>K235-H235*SQRT(J235)</f>
        <v>-1.0039050537664918</v>
      </c>
      <c r="M235" s="3">
        <f>EXP(-E235*J235)*(D235*_xlfn.NORM.DIST(K235,0,1,TRUE)-G235*_xlfn.NORM.DIST(L235,0,1,TRUE))</f>
        <v>378.38570233014332</v>
      </c>
      <c r="N235" s="3">
        <f>EXP(-E235*J235)*(G235*_xlfn.NORM.DIST(-L235,0,1,TRUE)-D235*_xlfn.NORM.DIST(-K235,0,1,TRUE))</f>
        <v>3176.4597686585139</v>
      </c>
      <c r="O235" s="3" t="b">
        <f>(M235-N235)=EXP(-E235*J235)*(D235-G235)</f>
        <v>1</v>
      </c>
    </row>
    <row r="236" spans="1:15" x14ac:dyDescent="0.3">
      <c r="A236" s="1">
        <v>45987</v>
      </c>
      <c r="B236" t="s">
        <v>15</v>
      </c>
      <c r="C236">
        <v>9691.58</v>
      </c>
      <c r="D236">
        <v>11233.14831</v>
      </c>
      <c r="E236" s="2">
        <v>3.7623155681622771E-2</v>
      </c>
      <c r="F236" s="1">
        <v>48929</v>
      </c>
      <c r="G236">
        <v>4845.79</v>
      </c>
      <c r="H236">
        <v>0.232844</v>
      </c>
      <c r="J236" s="3">
        <f>(F236-A236)/365</f>
        <v>8.0602739726027401</v>
      </c>
      <c r="K236" s="3">
        <f>(LN(D236/G236)+H236^2*J236/2)/(H236*SQRT(J236))</f>
        <v>1.6023663198307998</v>
      </c>
      <c r="L236" s="3">
        <f>K236-H236*SQRT(J236)</f>
        <v>0.94130772925297124</v>
      </c>
      <c r="M236" s="3">
        <f>EXP(-E236*J236)*(D236*_xlfn.NORM.DIST(K236,0,1,TRUE)-G236*_xlfn.NORM.DIST(L236,0,1,TRUE))</f>
        <v>4884.1395356695493</v>
      </c>
      <c r="N236" s="3">
        <f>EXP(-E236*J236)*(G236*_xlfn.NORM.DIST(-L236,0,1,TRUE)-D236*_xlfn.NORM.DIST(-K236,0,1,TRUE))</f>
        <v>167.63561493212615</v>
      </c>
      <c r="O236" s="3" t="b">
        <f>(M236-N236)=EXP(-E236*J236)*(D236-G236)</f>
        <v>1</v>
      </c>
    </row>
    <row r="237" spans="1:15" x14ac:dyDescent="0.3">
      <c r="A237" s="1">
        <v>45987</v>
      </c>
      <c r="B237" t="s">
        <v>15</v>
      </c>
      <c r="C237">
        <v>9691.58</v>
      </c>
      <c r="D237">
        <v>11233.14831</v>
      </c>
      <c r="E237" s="2">
        <v>3.7623155681622771E-2</v>
      </c>
      <c r="F237" s="1">
        <v>48929</v>
      </c>
      <c r="G237">
        <v>5814.9480000000003</v>
      </c>
      <c r="H237">
        <v>0.214362</v>
      </c>
      <c r="J237" s="3">
        <f>(F237-A237)/365</f>
        <v>8.0602739726027401</v>
      </c>
      <c r="K237" s="3">
        <f>(LN(D237/G237)+H237^2*J237/2)/(H237*SQRT(J237))</f>
        <v>1.3862048785627357</v>
      </c>
      <c r="L237" s="3">
        <f>K237-H237*SQRT(J237)</f>
        <v>0.77761783490498848</v>
      </c>
      <c r="M237" s="3">
        <f>EXP(-E237*J237)*(D237*_xlfn.NORM.DIST(K237,0,1,TRUE)-G237*_xlfn.NORM.DIST(L237,0,1,TRUE))</f>
        <v>4251.4752984023871</v>
      </c>
      <c r="N237" s="3">
        <f>EXP(-E237*J237)*(G237*_xlfn.NORM.DIST(-L237,0,1,TRUE)-D237*_xlfn.NORM.DIST(-K237,0,1,TRUE))</f>
        <v>250.60956249290282</v>
      </c>
      <c r="O237" s="3" t="b">
        <f>(M237-N237)=EXP(-E237*J237)*(D237-G237)</f>
        <v>0</v>
      </c>
    </row>
    <row r="238" spans="1:15" x14ac:dyDescent="0.3">
      <c r="A238" s="1">
        <v>45987</v>
      </c>
      <c r="B238" t="s">
        <v>15</v>
      </c>
      <c r="C238">
        <v>9691.58</v>
      </c>
      <c r="D238">
        <v>11233.14831</v>
      </c>
      <c r="E238" s="2">
        <v>3.7623155681622771E-2</v>
      </c>
      <c r="F238" s="1">
        <v>48929</v>
      </c>
      <c r="G238">
        <v>6784.1059999999998</v>
      </c>
      <c r="H238">
        <v>0.198544</v>
      </c>
      <c r="J238" s="3">
        <f>(F238-A238)/365</f>
        <v>8.0602739726027401</v>
      </c>
      <c r="K238" s="3">
        <f>(LN(D238/G238)+H238^2*J238/2)/(H238*SQRT(J238))</f>
        <v>1.1764740390784629</v>
      </c>
      <c r="L238" s="3">
        <f>K238-H238*SQRT(J238)</f>
        <v>0.61279528073517553</v>
      </c>
      <c r="M238" s="3">
        <f>EXP(-E238*J238)*(D238*_xlfn.NORM.DIST(K238,0,1,TRUE)-G238*_xlfn.NORM.DIST(L238,0,1,TRUE))</f>
        <v>3644.9152693435663</v>
      </c>
      <c r="N238" s="3">
        <f>EXP(-E238*J238)*(G238*_xlfn.NORM.DIST(-L238,0,1,TRUE)-D238*_xlfn.NORM.DIST(-K238,0,1,TRUE))</f>
        <v>359.68771826201726</v>
      </c>
      <c r="O238" s="3" t="b">
        <f>(M238-N238)=EXP(-E238*J238)*(D238-G238)</f>
        <v>1</v>
      </c>
    </row>
    <row r="239" spans="1:15" x14ac:dyDescent="0.3">
      <c r="A239" s="1">
        <v>45987</v>
      </c>
      <c r="B239" t="s">
        <v>15</v>
      </c>
      <c r="C239">
        <v>9691.58</v>
      </c>
      <c r="D239">
        <v>11233.14831</v>
      </c>
      <c r="E239" s="2">
        <v>3.7623155681622771E-2</v>
      </c>
      <c r="F239" s="1">
        <v>48929</v>
      </c>
      <c r="G239">
        <v>7753.2640000000001</v>
      </c>
      <c r="H239">
        <v>0.18481</v>
      </c>
      <c r="J239" s="3">
        <f>(F239-A239)/365</f>
        <v>8.0602739726027401</v>
      </c>
      <c r="K239" s="3">
        <f>(LN(D239/G239)+H239^2*J239/2)/(H239*SQRT(J239))</f>
        <v>0.96896502241551008</v>
      </c>
      <c r="L239" s="3">
        <f>K239-H239*SQRT(J239)</f>
        <v>0.44427794383633901</v>
      </c>
      <c r="M239" s="3">
        <f>EXP(-E239*J239)*(D239*_xlfn.NORM.DIST(K239,0,1,TRUE)-G239*_xlfn.NORM.DIST(L239,0,1,TRUE))</f>
        <v>3070.5804055732765</v>
      </c>
      <c r="N239" s="3">
        <f>EXP(-E239*J239)*(G239*_xlfn.NORM.DIST(-L239,0,1,TRUE)-D239*_xlfn.NORM.DIST(-K239,0,1,TRUE))</f>
        <v>500.99103931966442</v>
      </c>
      <c r="O239" s="3" t="b">
        <f>(M239-N239)=EXP(-E239*J239)*(D239-G239)</f>
        <v>1</v>
      </c>
    </row>
    <row r="240" spans="1:15" x14ac:dyDescent="0.3">
      <c r="A240" s="1">
        <v>45987</v>
      </c>
      <c r="B240" t="s">
        <v>15</v>
      </c>
      <c r="C240">
        <v>9691.58</v>
      </c>
      <c r="D240">
        <v>11233.14831</v>
      </c>
      <c r="E240" s="2">
        <v>3.7623155681622771E-2</v>
      </c>
      <c r="F240" s="1">
        <v>48929</v>
      </c>
      <c r="G240">
        <v>8722.4219999999987</v>
      </c>
      <c r="H240">
        <v>0.17283599999999999</v>
      </c>
      <c r="J240" s="3">
        <f>(F240-A240)/365</f>
        <v>8.0602739726027401</v>
      </c>
      <c r="K240" s="3">
        <f>(LN(D240/G240)+H240^2*J240/2)/(H240*SQRT(J240))</f>
        <v>0.76088749229403863</v>
      </c>
      <c r="L240" s="3">
        <f>K240-H240*SQRT(J240)</f>
        <v>0.27019534406986456</v>
      </c>
      <c r="M240" s="3">
        <f>EXP(-E240*J240)*(D240*_xlfn.NORM.DIST(K240,0,1,TRUE)-G240*_xlfn.NORM.DIST(L240,0,1,TRUE))</f>
        <v>2535.6951850597238</v>
      </c>
      <c r="N240" s="3">
        <f>EXP(-E240*J240)*(G240*_xlfn.NORM.DIST(-L240,0,1,TRUE)-D240*_xlfn.NORM.DIST(-K240,0,1,TRUE))</f>
        <v>681.74400363404754</v>
      </c>
      <c r="O240" s="3" t="b">
        <f>(M240-N240)=EXP(-E240*J240)*(D240-G240)</f>
        <v>1</v>
      </c>
    </row>
    <row r="241" spans="1:15" x14ac:dyDescent="0.3">
      <c r="A241" s="1">
        <v>45987</v>
      </c>
      <c r="B241" t="s">
        <v>15</v>
      </c>
      <c r="C241">
        <v>9691.58</v>
      </c>
      <c r="D241">
        <v>11233.14831</v>
      </c>
      <c r="E241" s="2">
        <v>3.7623155681622771E-2</v>
      </c>
      <c r="F241" s="1">
        <v>48929</v>
      </c>
      <c r="G241">
        <v>9207.0010000000002</v>
      </c>
      <c r="H241">
        <v>0.16745099999999999</v>
      </c>
      <c r="J241" s="3">
        <f>(F241-A241)/365</f>
        <v>8.0602739726027401</v>
      </c>
      <c r="K241" s="3">
        <f>(LN(D241/G241)+H241^2*J241/2)/(H241*SQRT(J241))</f>
        <v>0.65609339159618929</v>
      </c>
      <c r="L241" s="3">
        <f>K241-H241*SQRT(J241)</f>
        <v>0.18068959312662181</v>
      </c>
      <c r="M241" s="3">
        <f>EXP(-E241*J241)*(D241*_xlfn.NORM.DIST(K241,0,1,TRUE)-G241*_xlfn.NORM.DIST(L241,0,1,TRUE))</f>
        <v>2285.5314276396348</v>
      </c>
      <c r="N241" s="3">
        <f>EXP(-E241*J241)*(G241*_xlfn.NORM.DIST(-L241,0,1,TRUE)-D241*_xlfn.NORM.DIST(-K241,0,1,TRUE))</f>
        <v>789.39933862792839</v>
      </c>
      <c r="O241" s="3" t="b">
        <f>(M241-N241)=EXP(-E241*J241)*(D241-G241)</f>
        <v>1</v>
      </c>
    </row>
    <row r="242" spans="1:15" x14ac:dyDescent="0.3">
      <c r="A242" s="1">
        <v>45987</v>
      </c>
      <c r="B242" t="s">
        <v>15</v>
      </c>
      <c r="C242">
        <v>9691.58</v>
      </c>
      <c r="D242">
        <v>11233.14831</v>
      </c>
      <c r="E242" s="2">
        <v>3.7623155681622771E-2</v>
      </c>
      <c r="F242" s="1">
        <v>48929</v>
      </c>
      <c r="G242">
        <v>9691.58</v>
      </c>
      <c r="H242">
        <v>0.16245499999999999</v>
      </c>
      <c r="J242" s="3">
        <f>(F242-A242)/365</f>
        <v>8.0602739726027401</v>
      </c>
      <c r="K242" s="3">
        <f>(LN(D242/G242)+H242^2*J242/2)/(H242*SQRT(J242))</f>
        <v>0.55065601771316885</v>
      </c>
      <c r="L242" s="3">
        <f>K242-H242*SQRT(J242)</f>
        <v>8.9436173816305975E-2</v>
      </c>
      <c r="M242" s="3">
        <f>EXP(-E242*J242)*(D242*_xlfn.NORM.DIST(K242,0,1,TRUE)-G242*_xlfn.NORM.DIST(L242,0,1,TRUE))</f>
        <v>2048.2901602573438</v>
      </c>
      <c r="N242" s="3">
        <f>EXP(-E242*J242)*(G242*_xlfn.NORM.DIST(-L242,0,1,TRUE)-D242*_xlfn.NORM.DIST(-K242,0,1,TRUE))</f>
        <v>909.97716365960605</v>
      </c>
      <c r="O242" s="3" t="b">
        <f>(M242-N242)=EXP(-E242*J242)*(D242-G242)</f>
        <v>1</v>
      </c>
    </row>
    <row r="243" spans="1:15" x14ac:dyDescent="0.3">
      <c r="A243" s="1">
        <v>45987</v>
      </c>
      <c r="B243" t="s">
        <v>15</v>
      </c>
      <c r="C243">
        <v>9691.58</v>
      </c>
      <c r="D243">
        <v>11233.14831</v>
      </c>
      <c r="E243" s="2">
        <v>3.7623155681622771E-2</v>
      </c>
      <c r="F243" s="1">
        <v>48929</v>
      </c>
      <c r="G243">
        <v>10176.159</v>
      </c>
      <c r="H243">
        <v>0.15784100000000001</v>
      </c>
      <c r="J243" s="3">
        <f>(F243-A243)/365</f>
        <v>8.0602739726027401</v>
      </c>
      <c r="K243" s="3">
        <f>(LN(D243/G243)+H243^2*J243/2)/(H243*SQRT(J243))</f>
        <v>0.44458451935284832</v>
      </c>
      <c r="L243" s="3">
        <f>K243-H243*SQRT(J243)</f>
        <v>-3.5358917180620675E-3</v>
      </c>
      <c r="M243" s="3">
        <f>EXP(-E243*J243)*(D243*_xlfn.NORM.DIST(K243,0,1,TRUE)-G243*_xlfn.NORM.DIST(L243,0,1,TRUE))</f>
        <v>1824.9625922745292</v>
      </c>
      <c r="N243" s="3">
        <f>EXP(-E243*J243)*(G243*_xlfn.NORM.DIST(-L243,0,1,TRUE)-D243*_xlfn.NORM.DIST(-K243,0,1,TRUE))</f>
        <v>1044.4686880907584</v>
      </c>
      <c r="O243" s="3" t="b">
        <f>(M243-N243)=EXP(-E243*J243)*(D243-G243)</f>
        <v>0</v>
      </c>
    </row>
    <row r="244" spans="1:15" x14ac:dyDescent="0.3">
      <c r="A244" s="1">
        <v>45987</v>
      </c>
      <c r="B244" t="s">
        <v>15</v>
      </c>
      <c r="C244">
        <v>9691.58</v>
      </c>
      <c r="D244">
        <v>11233.14831</v>
      </c>
      <c r="E244" s="2">
        <v>3.7623155681622771E-2</v>
      </c>
      <c r="F244" s="1">
        <v>48929</v>
      </c>
      <c r="G244">
        <v>10660.738000000001</v>
      </c>
      <c r="H244">
        <v>0.153612</v>
      </c>
      <c r="J244" s="3">
        <f>(F244-A244)/365</f>
        <v>8.0602739726027401</v>
      </c>
      <c r="K244" s="3">
        <f>(LN(D244/G244)+H244^2*J244/2)/(H244*SQRT(J244))</f>
        <v>0.33798305651229088</v>
      </c>
      <c r="L244" s="3">
        <f>K244-H244*SQRT(J244)</f>
        <v>-9.8130960665911704E-2</v>
      </c>
      <c r="M244" s="3">
        <f>EXP(-E244*J244)*(D244*_xlfn.NORM.DIST(K244,0,1,TRUE)-G244*_xlfn.NORM.DIST(L244,0,1,TRUE))</f>
        <v>1616.5098339410654</v>
      </c>
      <c r="N244" s="3">
        <f>EXP(-E244*J244)*(G244*_xlfn.NORM.DIST(-L244,0,1,TRUE)-D244*_xlfn.NORM.DIST(-K244,0,1,TRUE))</f>
        <v>1193.8350221712644</v>
      </c>
      <c r="O244" s="3" t="b">
        <f>(M244-N244)=EXP(-E244*J244)*(D244-G244)</f>
        <v>0</v>
      </c>
    </row>
    <row r="245" spans="1:15" x14ac:dyDescent="0.3">
      <c r="A245" s="1">
        <v>45987</v>
      </c>
      <c r="B245" t="s">
        <v>15</v>
      </c>
      <c r="C245">
        <v>9691.58</v>
      </c>
      <c r="D245">
        <v>11233.14831</v>
      </c>
      <c r="E245" s="2">
        <v>3.7623155681622771E-2</v>
      </c>
      <c r="F245" s="1">
        <v>48929</v>
      </c>
      <c r="G245">
        <v>11629.896000000001</v>
      </c>
      <c r="H245">
        <v>0.14632200000000001</v>
      </c>
      <c r="J245" s="3">
        <f>(F245-A245)/365</f>
        <v>8.0602739726027401</v>
      </c>
      <c r="K245" s="3">
        <f>(LN(D245/G245)+H245^2*J245/2)/(H245*SQRT(J245))</f>
        <v>0.12415421001049634</v>
      </c>
      <c r="L245" s="3">
        <f>K245-H245*SQRT(J245)</f>
        <v>-0.2912630439901609</v>
      </c>
      <c r="M245" s="3">
        <f>EXP(-E245*J245)*(D245*_xlfn.NORM.DIST(K245,0,1,TRUE)-G245*_xlfn.NORM.DIST(L245,0,1,TRUE))</f>
        <v>1247.23483621483</v>
      </c>
      <c r="N245" s="3">
        <f>EXP(-E245*J245)*(G245*_xlfn.NORM.DIST(-L245,0,1,TRUE)-D245*_xlfn.NORM.DIST(-K245,0,1,TRUE))</f>
        <v>1540.1982092729663</v>
      </c>
      <c r="O245" s="3" t="b">
        <f>(M245-N245)=EXP(-E245*J245)*(D245-G245)</f>
        <v>1</v>
      </c>
    </row>
    <row r="246" spans="1:15" x14ac:dyDescent="0.3">
      <c r="A246" s="1">
        <v>45987</v>
      </c>
      <c r="B246" t="s">
        <v>15</v>
      </c>
      <c r="C246">
        <v>9691.58</v>
      </c>
      <c r="D246">
        <v>11233.14831</v>
      </c>
      <c r="E246" s="2">
        <v>3.7623155681622771E-2</v>
      </c>
      <c r="F246" s="1">
        <v>48929</v>
      </c>
      <c r="G246">
        <v>12599.053999999998</v>
      </c>
      <c r="H246">
        <v>0.14061699999999999</v>
      </c>
      <c r="J246" s="3">
        <f>(F246-A246)/365</f>
        <v>8.0602739726027401</v>
      </c>
      <c r="K246" s="3">
        <f>(LN(D246/G246)+H246^2*J246/2)/(H246*SQRT(J246))</f>
        <v>-8.7831654220638641E-2</v>
      </c>
      <c r="L246" s="3">
        <f>K246-H246*SQRT(J246)</f>
        <v>-0.4870520585741222</v>
      </c>
      <c r="M246" s="3">
        <f>EXP(-E246*J246)*(D246*_xlfn.NORM.DIST(K246,0,1,TRUE)-G246*_xlfn.NORM.DIST(L246,0,1,TRUE))</f>
        <v>944.11472854608689</v>
      </c>
      <c r="N246" s="3">
        <f>EXP(-E246*J246)*(G246*_xlfn.NORM.DIST(-L246,0,1,TRUE)-D246*_xlfn.NORM.DIST(-K246,0,1,TRUE))</f>
        <v>1952.7162864321579</v>
      </c>
      <c r="O246" s="3" t="b">
        <f>(M246-N246)=EXP(-E246*J246)*(D246-G246)</f>
        <v>1</v>
      </c>
    </row>
    <row r="247" spans="1:15" x14ac:dyDescent="0.3">
      <c r="A247" s="1">
        <v>45987</v>
      </c>
      <c r="B247" t="s">
        <v>15</v>
      </c>
      <c r="C247">
        <v>9691.58</v>
      </c>
      <c r="D247">
        <v>11233.14831</v>
      </c>
      <c r="E247" s="2">
        <v>3.7623155681622771E-2</v>
      </c>
      <c r="F247" s="1">
        <v>48929</v>
      </c>
      <c r="G247">
        <v>13568.212</v>
      </c>
      <c r="H247">
        <v>0.13649</v>
      </c>
      <c r="J247" s="3">
        <f>(F247-A247)/365</f>
        <v>8.0602739726027401</v>
      </c>
      <c r="K247" s="3">
        <f>(LN(D247/G247)+H247^2*J247/2)/(H247*SQRT(J247))</f>
        <v>-0.29362594264195374</v>
      </c>
      <c r="L247" s="3">
        <f>K247-H247*SQRT(J247)</f>
        <v>-0.68112953744348537</v>
      </c>
      <c r="M247" s="3">
        <f>EXP(-E247*J247)*(D247*_xlfn.NORM.DIST(K247,0,1,TRUE)-G247*_xlfn.NORM.DIST(L247,0,1,TRUE))</f>
        <v>705.85018555755096</v>
      </c>
      <c r="N247" s="3">
        <f>EXP(-E247*J247)*(G247*_xlfn.NORM.DIST(-L247,0,1,TRUE)-D247*_xlfn.NORM.DIST(-K247,0,1,TRUE))</f>
        <v>2430.08992827156</v>
      </c>
      <c r="O247" s="3" t="b">
        <f>(M247-N247)=EXP(-E247*J247)*(D247-G247)</f>
        <v>1</v>
      </c>
    </row>
    <row r="248" spans="1:15" x14ac:dyDescent="0.3">
      <c r="A248" s="1">
        <v>45987</v>
      </c>
      <c r="B248" t="s">
        <v>15</v>
      </c>
      <c r="C248">
        <v>9691.58</v>
      </c>
      <c r="D248">
        <v>11233.14831</v>
      </c>
      <c r="E248" s="2">
        <v>3.7623155681622771E-2</v>
      </c>
      <c r="F248" s="1">
        <v>48929</v>
      </c>
      <c r="G248">
        <v>14537.37</v>
      </c>
      <c r="H248">
        <v>0.133851</v>
      </c>
      <c r="J248" s="3">
        <f>(F248-A248)/365</f>
        <v>8.0602739726027401</v>
      </c>
      <c r="K248" s="3">
        <f>(LN(D248/G248)+H248^2*J248/2)/(H248*SQRT(J248))</f>
        <v>-0.48853598629187073</v>
      </c>
      <c r="L248" s="3">
        <f>K248-H248*SQRT(J248)</f>
        <v>-0.86854729604188763</v>
      </c>
      <c r="M248" s="3">
        <f>EXP(-E248*J248)*(D248*_xlfn.NORM.DIST(K248,0,1,TRUE)-G248*_xlfn.NORM.DIST(L248,0,1,TRUE))</f>
        <v>525.88415727566075</v>
      </c>
      <c r="N248" s="3">
        <f>EXP(-E248*J248)*(G248*_xlfn.NORM.DIST(-L248,0,1,TRUE)-D248*_xlfn.NORM.DIST(-K248,0,1,TRUE))</f>
        <v>2965.762084817608</v>
      </c>
      <c r="O248" s="3" t="b">
        <f>(M248-N248)=EXP(-E248*J248)*(D248-G248)</f>
        <v>1</v>
      </c>
    </row>
    <row r="249" spans="1:15" x14ac:dyDescent="0.3">
      <c r="A249" s="1">
        <v>45987</v>
      </c>
      <c r="B249" t="s">
        <v>15</v>
      </c>
      <c r="C249">
        <v>9691.58</v>
      </c>
      <c r="D249">
        <v>11639.14185</v>
      </c>
      <c r="E249" s="2">
        <v>3.8379576818966483E-2</v>
      </c>
      <c r="F249" s="1">
        <v>49293</v>
      </c>
      <c r="G249">
        <v>4845.79</v>
      </c>
      <c r="H249">
        <v>0.232762</v>
      </c>
      <c r="J249" s="3">
        <f>(F249-A249)/365</f>
        <v>9.0575342465753419</v>
      </c>
      <c r="K249" s="3">
        <f>(LN(D249/G249)+H249^2*J249/2)/(H249*SQRT(J249))</f>
        <v>1.6011428645928609</v>
      </c>
      <c r="L249" s="3">
        <f>K249-H249*SQRT(J249)</f>
        <v>0.90062845591943508</v>
      </c>
      <c r="M249" s="3">
        <f>EXP(-E249*J249)*(D249*_xlfn.NORM.DIST(K249,0,1,TRUE)-G249*_xlfn.NORM.DIST(L249,0,1,TRUE))</f>
        <v>4978.5366126228791</v>
      </c>
      <c r="N249" s="3">
        <f>EXP(-E249*J249)*(G249*_xlfn.NORM.DIST(-L249,0,1,TRUE)-D249*_xlfn.NORM.DIST(-K249,0,1,TRUE))</f>
        <v>179.95616820631224</v>
      </c>
      <c r="O249" s="3" t="b">
        <f>(M249-N249)=EXP(-E249*J249)*(D249-G249)</f>
        <v>1</v>
      </c>
    </row>
    <row r="250" spans="1:15" x14ac:dyDescent="0.3">
      <c r="A250" s="1">
        <v>45987</v>
      </c>
      <c r="B250" t="s">
        <v>15</v>
      </c>
      <c r="C250">
        <v>9691.58</v>
      </c>
      <c r="D250">
        <v>11639.14185</v>
      </c>
      <c r="E250" s="2">
        <v>3.8379576818966483E-2</v>
      </c>
      <c r="F250" s="1">
        <v>49293</v>
      </c>
      <c r="G250">
        <v>5814.9480000000003</v>
      </c>
      <c r="H250">
        <v>0.21523900000000001</v>
      </c>
      <c r="J250" s="3">
        <f>(F250-A250)/365</f>
        <v>9.0575342465753419</v>
      </c>
      <c r="K250" s="3">
        <f>(LN(D250/G250)+H250^2*J250/2)/(H250*SQRT(J250))</f>
        <v>1.3951543643702673</v>
      </c>
      <c r="L250" s="3">
        <f>K250-H250*SQRT(J250)</f>
        <v>0.74737671677976925</v>
      </c>
      <c r="M250" s="3">
        <f>EXP(-E250*J250)*(D250*_xlfn.NORM.DIST(K250,0,1,TRUE)-G250*_xlfn.NORM.DIST(L250,0,1,TRUE))</f>
        <v>4378.1913603154553</v>
      </c>
      <c r="N250" s="3">
        <f>EXP(-E250*J250)*(G250*_xlfn.NORM.DIST(-L250,0,1,TRUE)-D250*_xlfn.NORM.DIST(-K250,0,1,TRUE))</f>
        <v>264.18941691527186</v>
      </c>
      <c r="O250" s="3" t="b">
        <f>(M250-N250)=EXP(-E250*J250)*(D250-G250)</f>
        <v>1</v>
      </c>
    </row>
    <row r="251" spans="1:15" x14ac:dyDescent="0.3">
      <c r="A251" s="1">
        <v>45987</v>
      </c>
      <c r="B251" t="s">
        <v>15</v>
      </c>
      <c r="C251">
        <v>9691.58</v>
      </c>
      <c r="D251">
        <v>11639.14185</v>
      </c>
      <c r="E251" s="2">
        <v>3.8379576818966483E-2</v>
      </c>
      <c r="F251" s="1">
        <v>49293</v>
      </c>
      <c r="G251">
        <v>6784.1059999999998</v>
      </c>
      <c r="H251">
        <v>0.20027200000000001</v>
      </c>
      <c r="J251" s="3">
        <f>(F251-A251)/365</f>
        <v>9.0575342465753419</v>
      </c>
      <c r="K251" s="3">
        <f>(LN(D251/G251)+H251^2*J251/2)/(H251*SQRT(J251))</f>
        <v>1.1969388012173436</v>
      </c>
      <c r="L251" s="3">
        <f>K251-H251*SQRT(J251)</f>
        <v>0.5942054441666037</v>
      </c>
      <c r="M251" s="3">
        <f>EXP(-E251*J251)*(D251*_xlfn.NORM.DIST(K251,0,1,TRUE)-G251*_xlfn.NORM.DIST(L251,0,1,TRUE))</f>
        <v>3801.9885748769971</v>
      </c>
      <c r="N251" s="3">
        <f>EXP(-E251*J251)*(G251*_xlfn.NORM.DIST(-L251,0,1,TRUE)-D251*_xlfn.NORM.DIST(-K251,0,1,TRUE))</f>
        <v>372.56513249319602</v>
      </c>
      <c r="O251" s="3" t="b">
        <f>(M251-N251)=EXP(-E251*J251)*(D251-G251)</f>
        <v>1</v>
      </c>
    </row>
    <row r="252" spans="1:15" x14ac:dyDescent="0.3">
      <c r="A252" s="1">
        <v>45987</v>
      </c>
      <c r="B252" t="s">
        <v>15</v>
      </c>
      <c r="C252">
        <v>9691.58</v>
      </c>
      <c r="D252">
        <v>11639.14185</v>
      </c>
      <c r="E252" s="2">
        <v>3.8379576818966483E-2</v>
      </c>
      <c r="F252" s="1">
        <v>49293</v>
      </c>
      <c r="G252">
        <v>7753.2640000000001</v>
      </c>
      <c r="H252">
        <v>0.18729599999999999</v>
      </c>
      <c r="J252" s="3">
        <f>(F252-A252)/365</f>
        <v>9.0575342465753419</v>
      </c>
      <c r="K252" s="3">
        <f>(LN(D252/G252)+H252^2*J252/2)/(H252*SQRT(J252))</f>
        <v>1.0025668385554725</v>
      </c>
      <c r="L252" s="3">
        <f>K252-H252*SQRT(J252)</f>
        <v>0.43888571067850823</v>
      </c>
      <c r="M252" s="3">
        <f>EXP(-E252*J252)*(D252*_xlfn.NORM.DIST(K252,0,1,TRUE)-G252*_xlfn.NORM.DIST(L252,0,1,TRUE))</f>
        <v>3254.890374074535</v>
      </c>
      <c r="N252" s="3">
        <f>EXP(-E252*J252)*(G252*_xlfn.NORM.DIST(-L252,0,1,TRUE)-D252*_xlfn.NORM.DIST(-K252,0,1,TRUE))</f>
        <v>510.04543270711554</v>
      </c>
      <c r="O252" s="3" t="b">
        <f>(M252-N252)=EXP(-E252*J252)*(D252-G252)</f>
        <v>1</v>
      </c>
    </row>
    <row r="253" spans="1:15" x14ac:dyDescent="0.3">
      <c r="A253" s="1">
        <v>45987</v>
      </c>
      <c r="B253" t="s">
        <v>15</v>
      </c>
      <c r="C253">
        <v>9691.58</v>
      </c>
      <c r="D253">
        <v>11639.14185</v>
      </c>
      <c r="E253" s="2">
        <v>3.8379576818966483E-2</v>
      </c>
      <c r="F253" s="1">
        <v>49293</v>
      </c>
      <c r="G253">
        <v>8722.4219999999987</v>
      </c>
      <c r="H253">
        <v>0.175983</v>
      </c>
      <c r="J253" s="3">
        <f>(F253-A253)/365</f>
        <v>9.0575342465753419</v>
      </c>
      <c r="K253" s="3">
        <f>(LN(D253/G253)+H253^2*J253/2)/(H253*SQRT(J253))</f>
        <v>0.80948900768717136</v>
      </c>
      <c r="L253" s="3">
        <f>K253-H253*SQRT(J253)</f>
        <v>0.27985518781289853</v>
      </c>
      <c r="M253" s="3">
        <f>EXP(-E253*J253)*(D253*_xlfn.NORM.DIST(K253,0,1,TRUE)-G253*_xlfn.NORM.DIST(L253,0,1,TRUE))</f>
        <v>2742.6202033574814</v>
      </c>
      <c r="N253" s="3">
        <f>EXP(-E253*J253)*(G253*_xlfn.NORM.DIST(-L253,0,1,TRUE)-D253*_xlfn.NORM.DIST(-K253,0,1,TRUE))</f>
        <v>682.35376300644566</v>
      </c>
      <c r="O253" s="3" t="b">
        <f>(M253-N253)=EXP(-E253*J253)*(D253-G253)</f>
        <v>1</v>
      </c>
    </row>
    <row r="254" spans="1:15" x14ac:dyDescent="0.3">
      <c r="A254" s="1">
        <v>45987</v>
      </c>
      <c r="B254" t="s">
        <v>15</v>
      </c>
      <c r="C254">
        <v>9691.58</v>
      </c>
      <c r="D254">
        <v>11639.14185</v>
      </c>
      <c r="E254" s="2">
        <v>3.8379576818966483E-2</v>
      </c>
      <c r="F254" s="1">
        <v>49293</v>
      </c>
      <c r="G254">
        <v>9207.0010000000002</v>
      </c>
      <c r="H254">
        <v>0.17088800000000001</v>
      </c>
      <c r="J254" s="3">
        <f>(F254-A254)/365</f>
        <v>9.0575342465753419</v>
      </c>
      <c r="K254" s="3">
        <f>(LN(D254/G254)+H254^2*J254/2)/(H254*SQRT(J254))</f>
        <v>0.7129336558203041</v>
      </c>
      <c r="L254" s="3">
        <f>K254-H254*SQRT(J254)</f>
        <v>0.19863361427836679</v>
      </c>
      <c r="M254" s="3">
        <f>EXP(-E254*J254)*(D254*_xlfn.NORM.DIST(K254,0,1,TRUE)-G254*_xlfn.NORM.DIST(L254,0,1,TRUE))</f>
        <v>2501.4900005107656</v>
      </c>
      <c r="N254" s="3">
        <f>EXP(-E254*J254)*(G254*_xlfn.NORM.DIST(-L254,0,1,TRUE)-D254*_xlfn.NORM.DIST(-K254,0,1,TRUE))</f>
        <v>783.51281066792171</v>
      </c>
      <c r="O254" s="3" t="b">
        <f>(M254-N254)=EXP(-E254*J254)*(D254-G254)</f>
        <v>1</v>
      </c>
    </row>
    <row r="255" spans="1:15" x14ac:dyDescent="0.3">
      <c r="A255" s="1">
        <v>45987</v>
      </c>
      <c r="B255" t="s">
        <v>15</v>
      </c>
      <c r="C255">
        <v>9691.58</v>
      </c>
      <c r="D255">
        <v>11639.14185</v>
      </c>
      <c r="E255" s="2">
        <v>3.8379576818966483E-2</v>
      </c>
      <c r="F255" s="1">
        <v>49293</v>
      </c>
      <c r="G255">
        <v>9691.58</v>
      </c>
      <c r="H255">
        <v>0.16614799999999999</v>
      </c>
      <c r="J255" s="3">
        <f>(F255-A255)/365</f>
        <v>9.0575342465753419</v>
      </c>
      <c r="K255" s="3">
        <f>(LN(D255/G255)+H255^2*J255/2)/(H255*SQRT(J255))</f>
        <v>0.61622444018741052</v>
      </c>
      <c r="L255" s="3">
        <f>K255-H255*SQRT(J255)</f>
        <v>0.11618977829125754</v>
      </c>
      <c r="M255" s="3">
        <f>EXP(-E255*J255)*(D255*_xlfn.NORM.DIST(K255,0,1,TRUE)-G255*_xlfn.NORM.DIST(L255,0,1,TRUE))</f>
        <v>2271.4364635441398</v>
      </c>
      <c r="N255" s="3">
        <f>EXP(-E255*J255)*(G255*_xlfn.NORM.DIST(-L255,0,1,TRUE)-D255*_xlfn.NORM.DIST(-K255,0,1,TRUE))</f>
        <v>895.74852420948571</v>
      </c>
      <c r="O255" s="3" t="b">
        <f>(M255-N255)=EXP(-E255*J255)*(D255-G255)</f>
        <v>1</v>
      </c>
    </row>
    <row r="256" spans="1:15" x14ac:dyDescent="0.3">
      <c r="A256" s="1">
        <v>45987</v>
      </c>
      <c r="B256" t="s">
        <v>15</v>
      </c>
      <c r="C256">
        <v>9691.58</v>
      </c>
      <c r="D256">
        <v>11639.14185</v>
      </c>
      <c r="E256" s="2">
        <v>3.8379576818966483E-2</v>
      </c>
      <c r="F256" s="1">
        <v>49293</v>
      </c>
      <c r="G256">
        <v>10176.159</v>
      </c>
      <c r="H256">
        <v>0.16175500000000001</v>
      </c>
      <c r="J256" s="3">
        <f>(F256-A256)/365</f>
        <v>9.0575342465753419</v>
      </c>
      <c r="K256" s="3">
        <f>(LN(D256/G256)+H256^2*J256/2)/(H256*SQRT(J256))</f>
        <v>0.51933599290187782</v>
      </c>
      <c r="L256" s="3">
        <f>K256-H256*SQRT(J256)</f>
        <v>3.252238855507722E-2</v>
      </c>
      <c r="M256" s="3">
        <f>EXP(-E256*J256)*(D256*_xlfn.NORM.DIST(K256,0,1,TRUE)-G256*_xlfn.NORM.DIST(L256,0,1,TRUE))</f>
        <v>2053.2519619491545</v>
      </c>
      <c r="N256" s="3">
        <f>EXP(-E256*J256)*(G256*_xlfn.NORM.DIST(-L256,0,1,TRUE)-D256*_xlfn.NORM.DIST(-K256,0,1,TRUE))</f>
        <v>1019.8532731226932</v>
      </c>
      <c r="O256" s="3" t="b">
        <f>(M256-N256)=EXP(-E256*J256)*(D256-G256)</f>
        <v>1</v>
      </c>
    </row>
    <row r="257" spans="1:15" x14ac:dyDescent="0.3">
      <c r="A257" s="1">
        <v>45987</v>
      </c>
      <c r="B257" t="s">
        <v>15</v>
      </c>
      <c r="C257">
        <v>9691.58</v>
      </c>
      <c r="D257">
        <v>11639.14185</v>
      </c>
      <c r="E257" s="2">
        <v>3.8379576818966483E-2</v>
      </c>
      <c r="F257" s="1">
        <v>49293</v>
      </c>
      <c r="G257">
        <v>10660.738000000001</v>
      </c>
      <c r="H257">
        <v>0.15770500000000001</v>
      </c>
      <c r="J257" s="3">
        <f>(F257-A257)/365</f>
        <v>9.0575342465753419</v>
      </c>
      <c r="K257" s="3">
        <f>(LN(D257/G257)+H257^2*J257/2)/(H257*SQRT(J257))</f>
        <v>0.42231341522044391</v>
      </c>
      <c r="L257" s="3">
        <f>K257-H257*SQRT(J257)</f>
        <v>-5.2311415378376469E-2</v>
      </c>
      <c r="M257" s="3">
        <f>EXP(-E257*J257)*(D257*_xlfn.NORM.DIST(K257,0,1,TRUE)-G257*_xlfn.NORM.DIST(L257,0,1,TRUE))</f>
        <v>1847.6843202605521</v>
      </c>
      <c r="N257" s="3">
        <f>EXP(-E257*J257)*(G257*_xlfn.NORM.DIST(-L257,0,1,TRUE)-D257*_xlfn.NORM.DIST(-K257,0,1,TRUE))</f>
        <v>1156.574881942282</v>
      </c>
      <c r="O257" s="3" t="b">
        <f>(M257-N257)=EXP(-E257*J257)*(D257-G257)</f>
        <v>0</v>
      </c>
    </row>
    <row r="258" spans="1:15" x14ac:dyDescent="0.3">
      <c r="A258" s="1">
        <v>45987</v>
      </c>
      <c r="B258" t="s">
        <v>15</v>
      </c>
      <c r="C258">
        <v>9691.58</v>
      </c>
      <c r="D258">
        <v>11639.14185</v>
      </c>
      <c r="E258" s="2">
        <v>3.8379576818966483E-2</v>
      </c>
      <c r="F258" s="1">
        <v>49293</v>
      </c>
      <c r="G258">
        <v>11629.896000000001</v>
      </c>
      <c r="H258">
        <v>0.15062600000000001</v>
      </c>
      <c r="J258" s="3">
        <f>(F258-A258)/365</f>
        <v>9.0575342465753419</v>
      </c>
      <c r="K258" s="3">
        <f>(LN(D258/G258)+H258^2*J258/2)/(H258*SQRT(J258))</f>
        <v>0.22841307571783109</v>
      </c>
      <c r="L258" s="3">
        <f>K258-H258*SQRT(J258)</f>
        <v>-0.22490698219902583</v>
      </c>
      <c r="M258" s="3">
        <f>EXP(-E258*J258)*(D258*_xlfn.NORM.DIST(K258,0,1,TRUE)-G258*_xlfn.NORM.DIST(L258,0,1,TRUE))</f>
        <v>1476.8900065467249</v>
      </c>
      <c r="N258" s="3">
        <f>EXP(-E258*J258)*(G258*_xlfn.NORM.DIST(-L258,0,1,TRUE)-D258*_xlfn.NORM.DIST(-K258,0,1,TRUE))</f>
        <v>1470.3590692448374</v>
      </c>
      <c r="O258" s="3" t="b">
        <f>(M258-N258)=EXP(-E258*J258)*(D258-G258)</f>
        <v>0</v>
      </c>
    </row>
    <row r="259" spans="1:15" x14ac:dyDescent="0.3">
      <c r="A259" s="1">
        <v>45987</v>
      </c>
      <c r="B259" t="s">
        <v>15</v>
      </c>
      <c r="C259">
        <v>9691.58</v>
      </c>
      <c r="D259">
        <v>11639.14185</v>
      </c>
      <c r="E259" s="2">
        <v>3.8379576818966483E-2</v>
      </c>
      <c r="F259" s="1">
        <v>49293</v>
      </c>
      <c r="G259">
        <v>12599.053999999998</v>
      </c>
      <c r="H259">
        <v>0.14491200000000001</v>
      </c>
      <c r="J259" s="3">
        <f>(F259-A259)/365</f>
        <v>9.0575342465753419</v>
      </c>
      <c r="K259" s="3">
        <f>(LN(D259/G259)+H259^2*J259/2)/(H259*SQRT(J259))</f>
        <v>3.6351580720013862E-2</v>
      </c>
      <c r="L259" s="3">
        <f>K259-H259*SQRT(J259)</f>
        <v>-0.39977177270401365</v>
      </c>
      <c r="M259" s="3">
        <f>EXP(-E259*J259)*(D259*_xlfn.NORM.DIST(K259,0,1,TRUE)-G259*_xlfn.NORM.DIST(L259,0,1,TRUE))</f>
        <v>1162.610210608924</v>
      </c>
      <c r="N259" s="3">
        <f>EXP(-E259*J259)*(G259*_xlfn.NORM.DIST(-L259,0,1,TRUE)-D259*_xlfn.NORM.DIST(-K259,0,1,TRUE))</f>
        <v>1840.6577743234179</v>
      </c>
      <c r="O259" s="3" t="b">
        <f>(M259-N259)=EXP(-E259*J259)*(D259-G259)</f>
        <v>1</v>
      </c>
    </row>
    <row r="260" spans="1:15" x14ac:dyDescent="0.3">
      <c r="A260" s="1">
        <v>45987</v>
      </c>
      <c r="B260" t="s">
        <v>15</v>
      </c>
      <c r="C260">
        <v>9691.58</v>
      </c>
      <c r="D260">
        <v>11639.14185</v>
      </c>
      <c r="E260" s="2">
        <v>3.8379576818966483E-2</v>
      </c>
      <c r="F260" s="1">
        <v>49293</v>
      </c>
      <c r="G260">
        <v>13568.212</v>
      </c>
      <c r="H260">
        <v>0.14054900000000001</v>
      </c>
      <c r="J260" s="3">
        <f>(F260-A260)/365</f>
        <v>9.0575342465753419</v>
      </c>
      <c r="K260" s="3">
        <f>(LN(D260/G260)+H260^2*J260/2)/(H260*SQRT(J260))</f>
        <v>-0.15105377363543346</v>
      </c>
      <c r="L260" s="3">
        <f>K260-H260*SQRT(J260)</f>
        <v>-0.57404635672305659</v>
      </c>
      <c r="M260" s="3">
        <f>EXP(-E260*J260)*(D260*_xlfn.NORM.DIST(K260,0,1,TRUE)-G260*_xlfn.NORM.DIST(L260,0,1,TRUE))</f>
        <v>905.17849966741699</v>
      </c>
      <c r="N260" s="3">
        <f>EXP(-E260*J260)*(G260*_xlfn.NORM.DIST(-L260,0,1,TRUE)-D260*_xlfn.NORM.DIST(-K260,0,1,TRUE))</f>
        <v>2267.804564398295</v>
      </c>
      <c r="O260" s="3" t="b">
        <f>(M260-N260)=EXP(-E260*J260)*(D260-G260)</f>
        <v>1</v>
      </c>
    </row>
    <row r="261" spans="1:15" x14ac:dyDescent="0.3">
      <c r="A261" s="1">
        <v>45987</v>
      </c>
      <c r="B261" t="s">
        <v>15</v>
      </c>
      <c r="C261">
        <v>9691.58</v>
      </c>
      <c r="D261">
        <v>11639.14185</v>
      </c>
      <c r="E261" s="2">
        <v>3.8379576818966483E-2</v>
      </c>
      <c r="F261" s="1">
        <v>49293</v>
      </c>
      <c r="G261">
        <v>14537.37</v>
      </c>
      <c r="H261">
        <v>0.13747899999999999</v>
      </c>
      <c r="J261" s="3">
        <f>(F261-A261)/365</f>
        <v>9.0575342465753419</v>
      </c>
      <c r="K261" s="3">
        <f>(LN(D261/G261)+H261^2*J261/2)/(H261*SQRT(J261))</f>
        <v>-0.3305183163071046</v>
      </c>
      <c r="L261" s="3">
        <f>K261-H261*SQRT(J261)</f>
        <v>-0.74427150793638219</v>
      </c>
      <c r="M261" s="3">
        <f>EXP(-E261*J261)*(D261*_xlfn.NORM.DIST(K261,0,1,TRUE)-G261*_xlfn.NORM.DIST(L261,0,1,TRUE))</f>
        <v>701.17474561107008</v>
      </c>
      <c r="N261" s="3">
        <f>EXP(-E261*J261)*(G261*_xlfn.NORM.DIST(-L261,0,1,TRUE)-D261*_xlfn.NORM.DIST(-K261,0,1,TRUE))</f>
        <v>2748.3793113583329</v>
      </c>
      <c r="O261" s="3" t="b">
        <f>(M261-N261)=EXP(-E261*J261)*(D261-G261)</f>
        <v>1</v>
      </c>
    </row>
    <row r="262" spans="1:15" x14ac:dyDescent="0.3">
      <c r="A262" s="1">
        <v>45987</v>
      </c>
      <c r="B262" t="s">
        <v>15</v>
      </c>
      <c r="C262">
        <v>9691.58</v>
      </c>
      <c r="D262">
        <v>12062.95528</v>
      </c>
      <c r="E262" s="2">
        <v>3.9134437048702411E-2</v>
      </c>
      <c r="F262" s="1">
        <v>49664</v>
      </c>
      <c r="G262">
        <v>4845.79</v>
      </c>
      <c r="H262">
        <v>0.232983</v>
      </c>
      <c r="J262" s="3">
        <f>(F262-A262)/365</f>
        <v>10.073972602739726</v>
      </c>
      <c r="K262" s="3">
        <f>(LN(D262/G262)+H262^2*J262/2)/(H262*SQRT(J262))</f>
        <v>1.6030817996666209</v>
      </c>
      <c r="L262" s="3">
        <f>K262-H262*SQRT(J262)</f>
        <v>0.86360489297476473</v>
      </c>
      <c r="M262" s="3">
        <f>EXP(-E262*J262)*(D262*_xlfn.NORM.DIST(K262,0,1,TRUE)-G262*_xlfn.NORM.DIST(L262,0,1,TRUE))</f>
        <v>5056.3430649872744</v>
      </c>
      <c r="N262" s="3">
        <f>EXP(-E262*J262)*(G262*_xlfn.NORM.DIST(-L262,0,1,TRUE)-D262*_xlfn.NORM.DIST(-K262,0,1,TRUE))</f>
        <v>190.5826400206374</v>
      </c>
      <c r="O262" s="3" t="b">
        <f>(M262-N262)=EXP(-E262*J262)*(D262-G262)</f>
        <v>1</v>
      </c>
    </row>
    <row r="263" spans="1:15" x14ac:dyDescent="0.3">
      <c r="A263" s="1">
        <v>45987</v>
      </c>
      <c r="B263" t="s">
        <v>15</v>
      </c>
      <c r="C263">
        <v>9691.58</v>
      </c>
      <c r="D263">
        <v>12062.95528</v>
      </c>
      <c r="E263" s="2">
        <v>3.9134437048702411E-2</v>
      </c>
      <c r="F263" s="1">
        <v>49664</v>
      </c>
      <c r="G263">
        <v>5814.9480000000003</v>
      </c>
      <c r="H263">
        <v>0.216167</v>
      </c>
      <c r="J263" s="3">
        <f>(F263-A263)/365</f>
        <v>10.073972602739726</v>
      </c>
      <c r="K263" s="3">
        <f>(LN(D263/G263)+H263^2*J263/2)/(H263*SQRT(J263))</f>
        <v>1.4066044103606574</v>
      </c>
      <c r="L263" s="3">
        <f>K263-H263*SQRT(J263)</f>
        <v>0.72050068395633404</v>
      </c>
      <c r="M263" s="3">
        <f>EXP(-E263*J263)*(D263*_xlfn.NORM.DIST(K263,0,1,TRUE)-G263*_xlfn.NORM.DIST(L263,0,1,TRUE))</f>
        <v>4487.2700331398837</v>
      </c>
      <c r="N263" s="3">
        <f>EXP(-E263*J263)*(G263*_xlfn.NORM.DIST(-L263,0,1,TRUE)-D263*_xlfn.NORM.DIST(-K263,0,1,TRUE))</f>
        <v>274.90889431787775</v>
      </c>
      <c r="O263" s="3" t="b">
        <f>(M263-N263)=EXP(-E263*J263)*(D263-G263)</f>
        <v>1</v>
      </c>
    </row>
    <row r="264" spans="1:15" x14ac:dyDescent="0.3">
      <c r="A264" s="1">
        <v>45987</v>
      </c>
      <c r="B264" t="s">
        <v>15</v>
      </c>
      <c r="C264">
        <v>9691.58</v>
      </c>
      <c r="D264">
        <v>12062.95528</v>
      </c>
      <c r="E264" s="2">
        <v>3.9134437048702411E-2</v>
      </c>
      <c r="F264" s="1">
        <v>49664</v>
      </c>
      <c r="G264">
        <v>6784.1059999999998</v>
      </c>
      <c r="H264">
        <v>0.20183200000000001</v>
      </c>
      <c r="J264" s="3">
        <f>(F264-A264)/365</f>
        <v>10.073972602739726</v>
      </c>
      <c r="K264" s="3">
        <f>(LN(D264/G264)+H264^2*J264/2)/(H264*SQRT(J264))</f>
        <v>1.218760388615916</v>
      </c>
      <c r="L264" s="3">
        <f>K264-H264*SQRT(J264)</f>
        <v>0.57815526707730269</v>
      </c>
      <c r="M264" s="3">
        <f>EXP(-E264*J264)*(D264*_xlfn.NORM.DIST(K264,0,1,TRUE)-G264*_xlfn.NORM.DIST(L264,0,1,TRUE))</f>
        <v>3940.3107565330592</v>
      </c>
      <c r="N264" s="3">
        <f>EXP(-E264*J264)*(G264*_xlfn.NORM.DIST(-L264,0,1,TRUE)-D264*_xlfn.NORM.DIST(-K264,0,1,TRUE))</f>
        <v>381.34890385568525</v>
      </c>
      <c r="O264" s="3" t="b">
        <f>(M264-N264)=EXP(-E264*J264)*(D264-G264)</f>
        <v>1</v>
      </c>
    </row>
    <row r="265" spans="1:15" x14ac:dyDescent="0.3">
      <c r="A265" s="1">
        <v>45987</v>
      </c>
      <c r="B265" t="s">
        <v>15</v>
      </c>
      <c r="C265">
        <v>9691.58</v>
      </c>
      <c r="D265">
        <v>12062.95528</v>
      </c>
      <c r="E265" s="2">
        <v>3.9134437048702411E-2</v>
      </c>
      <c r="F265" s="1">
        <v>49664</v>
      </c>
      <c r="G265">
        <v>7753.2640000000001</v>
      </c>
      <c r="H265">
        <v>0.18942100000000001</v>
      </c>
      <c r="J265" s="3">
        <f>(F265-A265)/365</f>
        <v>10.073972602739726</v>
      </c>
      <c r="K265" s="3">
        <f>(LN(D265/G265)+H265^2*J265/2)/(H265*SQRT(J265))</f>
        <v>1.0358288024885214</v>
      </c>
      <c r="L265" s="3">
        <f>K265-H265*SQRT(J265)</f>
        <v>0.43461560177225411</v>
      </c>
      <c r="M265" s="3">
        <f>EXP(-E265*J265)*(D265*_xlfn.NORM.DIST(K265,0,1,TRUE)-G265*_xlfn.NORM.DIST(L265,0,1,TRUE))</f>
        <v>3419.5164132397899</v>
      </c>
      <c r="N265" s="3">
        <f>EXP(-E265*J265)*(G265*_xlfn.NORM.DIST(-L265,0,1,TRUE)-D265*_xlfn.NORM.DIST(-K265,0,1,TRUE))</f>
        <v>513.9538467070463</v>
      </c>
      <c r="O265" s="3" t="b">
        <f>(M265-N265)=EXP(-E265*J265)*(D265-G265)</f>
        <v>1</v>
      </c>
    </row>
    <row r="266" spans="1:15" x14ac:dyDescent="0.3">
      <c r="A266" s="1">
        <v>45987</v>
      </c>
      <c r="B266" t="s">
        <v>15</v>
      </c>
      <c r="C266">
        <v>9691.58</v>
      </c>
      <c r="D266">
        <v>12062.95528</v>
      </c>
      <c r="E266" s="2">
        <v>3.9134437048702411E-2</v>
      </c>
      <c r="F266" s="1">
        <v>49664</v>
      </c>
      <c r="G266">
        <v>8722.4219999999987</v>
      </c>
      <c r="H266">
        <v>0.17860699999999999</v>
      </c>
      <c r="J266" s="3">
        <f>(F266-A266)/365</f>
        <v>10.073972602739726</v>
      </c>
      <c r="K266" s="3">
        <f>(LN(D266/G266)+H266^2*J266/2)/(H266*SQRT(J266))</f>
        <v>0.8554117557912494</v>
      </c>
      <c r="L266" s="3">
        <f>K266-H266*SQRT(J266)</f>
        <v>0.2885216742251594</v>
      </c>
      <c r="M266" s="3">
        <f>EXP(-E266*J266)*(D266*_xlfn.NORM.DIST(K266,0,1,TRUE)-G266*_xlfn.NORM.DIST(L266,0,1,TRUE))</f>
        <v>2929.5234099990212</v>
      </c>
      <c r="N266" s="3">
        <f>EXP(-E266*J266)*(G266*_xlfn.NORM.DIST(-L266,0,1,TRUE)-D266*_xlfn.NORM.DIST(-K266,0,1,TRUE))</f>
        <v>677.3601296109066</v>
      </c>
      <c r="O266" s="3" t="b">
        <f>(M266-N266)=EXP(-E266*J266)*(D266-G266)</f>
        <v>1</v>
      </c>
    </row>
    <row r="267" spans="1:15" x14ac:dyDescent="0.3">
      <c r="A267" s="1">
        <v>45987</v>
      </c>
      <c r="B267" t="s">
        <v>15</v>
      </c>
      <c r="C267">
        <v>9691.58</v>
      </c>
      <c r="D267">
        <v>12062.95528</v>
      </c>
      <c r="E267" s="2">
        <v>3.9134437048702411E-2</v>
      </c>
      <c r="F267" s="1">
        <v>49664</v>
      </c>
      <c r="G267">
        <v>9207.0010000000002</v>
      </c>
      <c r="H267">
        <v>0.173734</v>
      </c>
      <c r="J267" s="3">
        <f>(F267-A267)/365</f>
        <v>10.073972602739726</v>
      </c>
      <c r="K267" s="3">
        <f>(LN(D267/G267)+H267^2*J267/2)/(H267*SQRT(J267))</f>
        <v>0.76567101943116189</v>
      </c>
      <c r="L267" s="3">
        <f>K267-H267*SQRT(J267)</f>
        <v>0.21424760696242839</v>
      </c>
      <c r="M267" s="3">
        <f>EXP(-E267*J267)*(D267*_xlfn.NORM.DIST(K267,0,1,TRUE)-G267*_xlfn.NORM.DIST(L267,0,1,TRUE))</f>
        <v>2697.6370988638937</v>
      </c>
      <c r="N267" s="3">
        <f>EXP(-E267*J267)*(G267*_xlfn.NORM.DIST(-L267,0,1,TRUE)-D267*_xlfn.NORM.DIST(-K267,0,1,TRUE))</f>
        <v>772.17346154809707</v>
      </c>
      <c r="O267" s="3" t="b">
        <f>(M267-N267)=EXP(-E267*J267)*(D267-G267)</f>
        <v>1</v>
      </c>
    </row>
    <row r="268" spans="1:15" x14ac:dyDescent="0.3">
      <c r="A268" s="1">
        <v>45987</v>
      </c>
      <c r="B268" t="s">
        <v>15</v>
      </c>
      <c r="C268">
        <v>9691.58</v>
      </c>
      <c r="D268">
        <v>12062.95528</v>
      </c>
      <c r="E268" s="2">
        <v>3.9134437048702411E-2</v>
      </c>
      <c r="F268" s="1">
        <v>49664</v>
      </c>
      <c r="G268">
        <v>9691.58</v>
      </c>
      <c r="H268">
        <v>0.16919400000000001</v>
      </c>
      <c r="J268" s="3">
        <f>(F268-A268)/365</f>
        <v>10.073972602739726</v>
      </c>
      <c r="K268" s="3">
        <f>(LN(D268/G268)+H268^2*J268/2)/(H268*SQRT(J268))</f>
        <v>0.67609746885100019</v>
      </c>
      <c r="L268" s="3">
        <f>K268-H268*SQRT(J268)</f>
        <v>0.13908379939519477</v>
      </c>
      <c r="M268" s="3">
        <f>EXP(-E268*J268)*(D268*_xlfn.NORM.DIST(K268,0,1,TRUE)-G268*_xlfn.NORM.DIST(L268,0,1,TRUE))</f>
        <v>2475.3416388443879</v>
      </c>
      <c r="N268" s="3">
        <f>EXP(-E268*J268)*(G268*_xlfn.NORM.DIST(-L268,0,1,TRUE)-D268*_xlfn.NORM.DIST(-K268,0,1,TRUE))</f>
        <v>876.57764460090607</v>
      </c>
      <c r="O268" s="3" t="b">
        <f>(M268-N268)=EXP(-E268*J268)*(D268-G268)</f>
        <v>1</v>
      </c>
    </row>
    <row r="269" spans="1:15" x14ac:dyDescent="0.3">
      <c r="A269" s="1">
        <v>45987</v>
      </c>
      <c r="B269" t="s">
        <v>15</v>
      </c>
      <c r="C269">
        <v>9691.58</v>
      </c>
      <c r="D269">
        <v>12062.95528</v>
      </c>
      <c r="E269" s="2">
        <v>3.9134437048702411E-2</v>
      </c>
      <c r="F269" s="1">
        <v>49664</v>
      </c>
      <c r="G269">
        <v>10176.159</v>
      </c>
      <c r="H269">
        <v>0.16497899999999999</v>
      </c>
      <c r="J269" s="3">
        <f>(F269-A269)/365</f>
        <v>10.073972602739726</v>
      </c>
      <c r="K269" s="3">
        <f>(LN(D269/G269)+H269^2*J269/2)/(H269*SQRT(J269))</f>
        <v>0.58664595656722496</v>
      </c>
      <c r="L269" s="3">
        <f>K269-H269*SQRT(J269)</f>
        <v>6.3010495657563226E-2</v>
      </c>
      <c r="M269" s="3">
        <f>EXP(-E269*J269)*(D269*_xlfn.NORM.DIST(K269,0,1,TRUE)-G269*_xlfn.NORM.DIST(L269,0,1,TRUE))</f>
        <v>2263.2955151650767</v>
      </c>
      <c r="N269" s="3">
        <f>EXP(-E269*J269)*(G269*_xlfn.NORM.DIST(-L269,0,1,TRUE)-D269*_xlfn.NORM.DIST(-K269,0,1,TRUE))</f>
        <v>991.23116399391063</v>
      </c>
      <c r="O269" s="3" t="b">
        <f>(M269-N269)=EXP(-E269*J269)*(D269-G269)</f>
        <v>1</v>
      </c>
    </row>
    <row r="270" spans="1:15" x14ac:dyDescent="0.3">
      <c r="A270" s="1">
        <v>45987</v>
      </c>
      <c r="B270" t="s">
        <v>15</v>
      </c>
      <c r="C270">
        <v>9691.58</v>
      </c>
      <c r="D270">
        <v>12062.95528</v>
      </c>
      <c r="E270" s="2">
        <v>3.9134437048702411E-2</v>
      </c>
      <c r="F270" s="1">
        <v>49664</v>
      </c>
      <c r="G270">
        <v>10660.738000000001</v>
      </c>
      <c r="H270">
        <v>0.16108</v>
      </c>
      <c r="J270" s="3">
        <f>(F270-A270)/365</f>
        <v>10.073972602739726</v>
      </c>
      <c r="K270" s="3">
        <f>(LN(D270/G270)+H270^2*J270/2)/(H270*SQRT(J270))</f>
        <v>0.49733004565995909</v>
      </c>
      <c r="L270" s="3">
        <f>K270-H270*SQRT(J270)</f>
        <v>-1.3930175600494255E-2</v>
      </c>
      <c r="M270" s="3">
        <f>EXP(-E270*J270)*(D270*_xlfn.NORM.DIST(K270,0,1,TRUE)-G270*_xlfn.NORM.DIST(L270,0,1,TRUE))</f>
        <v>2062.0915860977016</v>
      </c>
      <c r="N270" s="3">
        <f>EXP(-E270*J270)*(G270*_xlfn.NORM.DIST(-L270,0,1,TRUE)-D270*_xlfn.NORM.DIST(-K270,0,1,TRUE))</f>
        <v>1116.7268779988515</v>
      </c>
      <c r="O270" s="3" t="b">
        <f>(M270-N270)=EXP(-E270*J270)*(D270-G270)</f>
        <v>1</v>
      </c>
    </row>
    <row r="271" spans="1:15" x14ac:dyDescent="0.3">
      <c r="A271" s="1">
        <v>45987</v>
      </c>
      <c r="B271" t="s">
        <v>15</v>
      </c>
      <c r="C271">
        <v>9691.58</v>
      </c>
      <c r="D271">
        <v>12062.95528</v>
      </c>
      <c r="E271" s="2">
        <v>3.9134437048702411E-2</v>
      </c>
      <c r="F271" s="1">
        <v>49664</v>
      </c>
      <c r="G271">
        <v>11629.896000000001</v>
      </c>
      <c r="H271">
        <v>0.15421299999999999</v>
      </c>
      <c r="J271" s="3">
        <f>(F271-A271)/365</f>
        <v>10.073972602739726</v>
      </c>
      <c r="K271" s="3">
        <f>(LN(D271/G271)+H271^2*J271/2)/(H271*SQRT(J271))</f>
        <v>0.31942656966710237</v>
      </c>
      <c r="L271" s="3">
        <f>K271-H271*SQRT(J271)</f>
        <v>-0.17003812179824579</v>
      </c>
      <c r="M271" s="3">
        <f>EXP(-E271*J271)*(D271*_xlfn.NORM.DIST(K271,0,1,TRUE)-G271*_xlfn.NORM.DIST(L271,0,1,TRUE))</f>
        <v>1694.3358959129632</v>
      </c>
      <c r="N271" s="3">
        <f>EXP(-E271*J271)*(G271*_xlfn.NORM.DIST(-L271,0,1,TRUE)-D271*_xlfn.NORM.DIST(-K271,0,1,TRUE))</f>
        <v>1402.3704739587438</v>
      </c>
      <c r="O271" s="3" t="b">
        <f>(M271-N271)=EXP(-E271*J271)*(D271-G271)</f>
        <v>0</v>
      </c>
    </row>
    <row r="272" spans="1:15" x14ac:dyDescent="0.3">
      <c r="A272" s="1">
        <v>45987</v>
      </c>
      <c r="B272" t="s">
        <v>15</v>
      </c>
      <c r="C272">
        <v>9691.58</v>
      </c>
      <c r="D272">
        <v>12062.95528</v>
      </c>
      <c r="E272" s="2">
        <v>3.9134437048702411E-2</v>
      </c>
      <c r="F272" s="1">
        <v>49664</v>
      </c>
      <c r="G272">
        <v>12599.053999999998</v>
      </c>
      <c r="H272">
        <v>0.14857300000000001</v>
      </c>
      <c r="J272" s="3">
        <f>(F272-A272)/365</f>
        <v>10.073972602739726</v>
      </c>
      <c r="K272" s="3">
        <f>(LN(D272/G272)+H272^2*J272/2)/(H272*SQRT(J272))</f>
        <v>0.14357255809798677</v>
      </c>
      <c r="L272" s="3">
        <f>K272-H272*SQRT(J272)</f>
        <v>-0.32799104292839354</v>
      </c>
      <c r="M272" s="3">
        <f>EXP(-E272*J272)*(D272*_xlfn.NORM.DIST(K272,0,1,TRUE)-G272*_xlfn.NORM.DIST(L272,0,1,TRUE))</f>
        <v>1375.3588364760824</v>
      </c>
      <c r="N272" s="3">
        <f>EXP(-E272*J272)*(G272*_xlfn.NORM.DIST(-L272,0,1,TRUE)-D272*_xlfn.NORM.DIST(-K272,0,1,TRUE))</f>
        <v>1736.7927006664927</v>
      </c>
      <c r="O272" s="3" t="b">
        <f>(M272-N272)=EXP(-E272*J272)*(D272-G272)</f>
        <v>1</v>
      </c>
    </row>
    <row r="273" spans="1:15" x14ac:dyDescent="0.3">
      <c r="A273" s="1">
        <v>45987</v>
      </c>
      <c r="B273" t="s">
        <v>15</v>
      </c>
      <c r="C273">
        <v>9691.58</v>
      </c>
      <c r="D273">
        <v>12062.95528</v>
      </c>
      <c r="E273" s="2">
        <v>3.9134437048702411E-2</v>
      </c>
      <c r="F273" s="1">
        <v>49664</v>
      </c>
      <c r="G273">
        <v>13568.212</v>
      </c>
      <c r="H273">
        <v>0.14413799999999999</v>
      </c>
      <c r="J273" s="3">
        <f>(F273-A273)/365</f>
        <v>10.073972602739726</v>
      </c>
      <c r="K273" s="3">
        <f>(LN(D273/G273)+H273^2*J273/2)/(H273*SQRT(J273))</f>
        <v>-2.8292076544318607E-2</v>
      </c>
      <c r="L273" s="3">
        <f>K273-H273*SQRT(J273)</f>
        <v>-0.48577919953934723</v>
      </c>
      <c r="M273" s="3">
        <f>EXP(-E273*J273)*(D273*_xlfn.NORM.DIST(K273,0,1,TRUE)-G273*_xlfn.NORM.DIST(L273,0,1,TRUE))</f>
        <v>1106.261661132474</v>
      </c>
      <c r="N273" s="3">
        <f>EXP(-E273*J273)*(G273*_xlfn.NORM.DIST(-L273,0,1,TRUE)-D273*_xlfn.NORM.DIST(-K273,0,1,TRUE))</f>
        <v>2121.0948114675157</v>
      </c>
      <c r="O273" s="3" t="b">
        <f>(M273-N273)=EXP(-E273*J273)*(D273-G273)</f>
        <v>1</v>
      </c>
    </row>
    <row r="274" spans="1:15" x14ac:dyDescent="0.3">
      <c r="A274" s="1">
        <v>45987</v>
      </c>
      <c r="B274" t="s">
        <v>15</v>
      </c>
      <c r="C274">
        <v>9691.58</v>
      </c>
      <c r="D274">
        <v>12062.95528</v>
      </c>
      <c r="E274" s="2">
        <v>3.9134437048702411E-2</v>
      </c>
      <c r="F274" s="1">
        <v>49664</v>
      </c>
      <c r="G274">
        <v>14537.37</v>
      </c>
      <c r="H274">
        <v>0.14086099999999999</v>
      </c>
      <c r="J274" s="3">
        <f>(F274-A274)/365</f>
        <v>10.073972602739726</v>
      </c>
      <c r="K274" s="3">
        <f>(LN(D274/G274)+H274^2*J274/2)/(H274*SQRT(J274))</f>
        <v>-0.19378904290716414</v>
      </c>
      <c r="L274" s="3">
        <f>K274-H274*SQRT(J274)</f>
        <v>-0.64087512452479944</v>
      </c>
      <c r="M274" s="3">
        <f>EXP(-E274*J274)*(D274*_xlfn.NORM.DIST(K274,0,1,TRUE)-G274*_xlfn.NORM.DIST(L274,0,1,TRUE))</f>
        <v>885.42633534266099</v>
      </c>
      <c r="N274" s="3">
        <f>EXP(-E274*J274)*(G274*_xlfn.NORM.DIST(-L274,0,1,TRUE)-D274*_xlfn.NORM.DIST(-K274,0,1,TRUE))</f>
        <v>2553.6587718223345</v>
      </c>
      <c r="O274" s="3" t="b">
        <f>(M274-N274)=EXP(-E274*J274)*(D274-G274)</f>
        <v>1</v>
      </c>
    </row>
    <row r="275" spans="1:15" x14ac:dyDescent="0.3">
      <c r="A275" s="1">
        <v>45987</v>
      </c>
      <c r="B275" t="s">
        <v>15</v>
      </c>
      <c r="C275">
        <v>9691.58</v>
      </c>
      <c r="D275">
        <v>12521.221369999999</v>
      </c>
      <c r="E275" s="2">
        <v>3.9858253681633385E-2</v>
      </c>
      <c r="F275" s="1">
        <v>50028</v>
      </c>
      <c r="G275">
        <v>4845.79</v>
      </c>
      <c r="H275">
        <v>0.23089199999999999</v>
      </c>
      <c r="J275" s="3">
        <f>(F275-A275)/365</f>
        <v>11.07123287671233</v>
      </c>
      <c r="K275" s="3">
        <f>(LN(D275/G275)+H275^2*J275/2)/(H275*SQRT(J275))</f>
        <v>1.6198010634009292</v>
      </c>
      <c r="L275" s="3">
        <f>K275-H275*SQRT(J275)</f>
        <v>0.8515434396616719</v>
      </c>
      <c r="M275" s="3">
        <f>EXP(-E275*J275)*(D275*_xlfn.NORM.DIST(K275,0,1,TRUE)-G275*_xlfn.NORM.DIST(L275,0,1,TRUE))</f>
        <v>5127.7542769062338</v>
      </c>
      <c r="N275" s="3">
        <f>EXP(-E275*J275)*(G275*_xlfn.NORM.DIST(-L275,0,1,TRUE)-D275*_xlfn.NORM.DIST(-K275,0,1,TRUE))</f>
        <v>190.82029102255325</v>
      </c>
      <c r="O275" s="3" t="b">
        <f>(M275-N275)=EXP(-E275*J275)*(D275-G275)</f>
        <v>1</v>
      </c>
    </row>
    <row r="276" spans="1:15" x14ac:dyDescent="0.3">
      <c r="A276" s="1">
        <v>45987</v>
      </c>
      <c r="B276" t="s">
        <v>15</v>
      </c>
      <c r="C276">
        <v>9691.58</v>
      </c>
      <c r="D276">
        <v>12521.221369999999</v>
      </c>
      <c r="E276" s="2">
        <v>3.9858253681633385E-2</v>
      </c>
      <c r="F276" s="1">
        <v>50028</v>
      </c>
      <c r="G276">
        <v>5814.9480000000003</v>
      </c>
      <c r="H276">
        <v>0.215027</v>
      </c>
      <c r="J276" s="3">
        <f>(F276-A276)/365</f>
        <v>11.07123287671233</v>
      </c>
      <c r="K276" s="3">
        <f>(LN(D276/G276)+H276^2*J276/2)/(H276*SQRT(J276))</f>
        <v>1.4297486247090543</v>
      </c>
      <c r="L276" s="3">
        <f>K276-H276*SQRT(J276)</f>
        <v>0.71427934877146748</v>
      </c>
      <c r="M276" s="3">
        <f>EXP(-E276*J276)*(D276*_xlfn.NORM.DIST(K276,0,1,TRUE)-G276*_xlfn.NORM.DIST(L276,0,1,TRUE))</f>
        <v>4586.7027585967526</v>
      </c>
      <c r="N276" s="3">
        <f>EXP(-E276*J276)*(G276*_xlfn.NORM.DIST(-L276,0,1,TRUE)-D276*_xlfn.NORM.DIST(-K276,0,1,TRUE))</f>
        <v>273.14338675656342</v>
      </c>
      <c r="O276" s="3" t="b">
        <f>(M276-N276)=EXP(-E276*J276)*(D276-G276)</f>
        <v>1</v>
      </c>
    </row>
    <row r="277" spans="1:15" x14ac:dyDescent="0.3">
      <c r="A277" s="1">
        <v>45987</v>
      </c>
      <c r="B277" t="s">
        <v>15</v>
      </c>
      <c r="C277">
        <v>9691.58</v>
      </c>
      <c r="D277">
        <v>12521.221369999999</v>
      </c>
      <c r="E277" s="2">
        <v>3.9858253681633385E-2</v>
      </c>
      <c r="F277" s="1">
        <v>50028</v>
      </c>
      <c r="G277">
        <v>6784.1059999999998</v>
      </c>
      <c r="H277">
        <v>0.20152</v>
      </c>
      <c r="J277" s="3">
        <f>(F277-A277)/365</f>
        <v>11.07123287671233</v>
      </c>
      <c r="K277" s="3">
        <f>(LN(D277/G277)+H277^2*J277/2)/(H277*SQRT(J277))</f>
        <v>1.2492348996766214</v>
      </c>
      <c r="L277" s="3">
        <f>K277-H277*SQRT(J277)</f>
        <v>0.57870808915076877</v>
      </c>
      <c r="M277" s="3">
        <f>EXP(-E277*J277)*(D277*_xlfn.NORM.DIST(K277,0,1,TRUE)-G277*_xlfn.NORM.DIST(L277,0,1,TRUE))</f>
        <v>4066.0689603585129</v>
      </c>
      <c r="N277" s="3">
        <f>EXP(-E277*J277)*(G277*_xlfn.NORM.DIST(-L277,0,1,TRUE)-D277*_xlfn.NORM.DIST(-K277,0,1,TRUE))</f>
        <v>375.88420256181541</v>
      </c>
      <c r="O277" s="3" t="b">
        <f>(M277-N277)=EXP(-E277*J277)*(D277-G277)</f>
        <v>1</v>
      </c>
    </row>
    <row r="278" spans="1:15" x14ac:dyDescent="0.3">
      <c r="A278" s="1">
        <v>45987</v>
      </c>
      <c r="B278" t="s">
        <v>15</v>
      </c>
      <c r="C278">
        <v>9691.58</v>
      </c>
      <c r="D278">
        <v>12521.221369999999</v>
      </c>
      <c r="E278" s="2">
        <v>3.9858253681633385E-2</v>
      </c>
      <c r="F278" s="1">
        <v>50028</v>
      </c>
      <c r="G278">
        <v>7753.2640000000001</v>
      </c>
      <c r="H278">
        <v>0.18983700000000001</v>
      </c>
      <c r="J278" s="3">
        <f>(F278-A278)/365</f>
        <v>11.07123287671233</v>
      </c>
      <c r="K278" s="3">
        <f>(LN(D278/G278)+H278^2*J278/2)/(H278*SQRT(J278))</f>
        <v>1.0746463114022853</v>
      </c>
      <c r="L278" s="3">
        <f>K278-H278*SQRT(J278)</f>
        <v>0.44299288678043003</v>
      </c>
      <c r="M278" s="3">
        <f>EXP(-E278*J278)*(D278*_xlfn.NORM.DIST(K278,0,1,TRUE)-G278*_xlfn.NORM.DIST(L278,0,1,TRUE))</f>
        <v>3569.2272425302704</v>
      </c>
      <c r="N278" s="3">
        <f>EXP(-E278*J278)*(G278*_xlfn.NORM.DIST(-L278,0,1,TRUE)-D278*_xlfn.NORM.DIST(-K278,0,1,TRUE))</f>
        <v>502.41709877706381</v>
      </c>
      <c r="O278" s="3" t="b">
        <f>(M278-N278)=EXP(-E278*J278)*(D278-G278)</f>
        <v>1</v>
      </c>
    </row>
    <row r="279" spans="1:15" x14ac:dyDescent="0.3">
      <c r="A279" s="1">
        <v>45987</v>
      </c>
      <c r="B279" t="s">
        <v>15</v>
      </c>
      <c r="C279">
        <v>9691.58</v>
      </c>
      <c r="D279">
        <v>12521.221369999999</v>
      </c>
      <c r="E279" s="2">
        <v>3.9858253681633385E-2</v>
      </c>
      <c r="F279" s="1">
        <v>50028</v>
      </c>
      <c r="G279">
        <v>8722.4219999999987</v>
      </c>
      <c r="H279">
        <v>0.17965100000000001</v>
      </c>
      <c r="J279" s="3">
        <f>(F279-A279)/365</f>
        <v>11.07123287671233</v>
      </c>
      <c r="K279" s="3">
        <f>(LN(D279/G279)+H279^2*J279/2)/(H279*SQRT(J279))</f>
        <v>0.90368399090402485</v>
      </c>
      <c r="L279" s="3">
        <f>K279-H279*SQRT(J279)</f>
        <v>0.30592291489281032</v>
      </c>
      <c r="M279" s="3">
        <f>EXP(-E279*J279)*(D279*_xlfn.NORM.DIST(K279,0,1,TRUE)-G279*_xlfn.NORM.DIST(L279,0,1,TRUE))</f>
        <v>3099.9292733818115</v>
      </c>
      <c r="N279" s="3">
        <f>EXP(-E279*J279)*(G279*_xlfn.NORM.DIST(-L279,0,1,TRUE)-D279*_xlfn.NORM.DIST(-K279,0,1,TRUE))</f>
        <v>656.49374367209623</v>
      </c>
      <c r="O279" s="3" t="b">
        <f>(M279-N279)=EXP(-E279*J279)*(D279-G279)</f>
        <v>1</v>
      </c>
    </row>
    <row r="280" spans="1:15" x14ac:dyDescent="0.3">
      <c r="A280" s="1">
        <v>45987</v>
      </c>
      <c r="B280" t="s">
        <v>15</v>
      </c>
      <c r="C280">
        <v>9691.58</v>
      </c>
      <c r="D280">
        <v>12521.221369999999</v>
      </c>
      <c r="E280" s="2">
        <v>3.9858253681633385E-2</v>
      </c>
      <c r="F280" s="1">
        <v>50028</v>
      </c>
      <c r="G280">
        <v>9207.0010000000002</v>
      </c>
      <c r="H280">
        <v>0.17505399999999999</v>
      </c>
      <c r="J280" s="3">
        <f>(F280-A280)/365</f>
        <v>11.07123287671233</v>
      </c>
      <c r="K280" s="3">
        <f>(LN(D280/G280)+H280^2*J280/2)/(H280*SQRT(J280))</f>
        <v>0.81909370831442074</v>
      </c>
      <c r="L280" s="3">
        <f>K280-H280*SQRT(J280)</f>
        <v>0.23662844288273854</v>
      </c>
      <c r="M280" s="3">
        <f>EXP(-E280*J280)*(D280*_xlfn.NORM.DIST(K280,0,1,TRUE)-G280*_xlfn.NORM.DIST(L280,0,1,TRUE))</f>
        <v>2876.8666597227898</v>
      </c>
      <c r="N280" s="3">
        <f>EXP(-E280*J280)*(G280*_xlfn.NORM.DIST(-L280,0,1,TRUE)-D280*_xlfn.NORM.DIST(-K280,0,1,TRUE))</f>
        <v>745.11843703482043</v>
      </c>
      <c r="O280" s="3" t="b">
        <f>(M280-N280)=EXP(-E280*J280)*(D280-G280)</f>
        <v>1</v>
      </c>
    </row>
    <row r="281" spans="1:15" x14ac:dyDescent="0.3">
      <c r="A281" s="1">
        <v>45987</v>
      </c>
      <c r="B281" t="s">
        <v>15</v>
      </c>
      <c r="C281">
        <v>9691.58</v>
      </c>
      <c r="D281">
        <v>12521.221369999999</v>
      </c>
      <c r="E281" s="2">
        <v>3.9858253681633385E-2</v>
      </c>
      <c r="F281" s="1">
        <v>50028</v>
      </c>
      <c r="G281">
        <v>9691.58</v>
      </c>
      <c r="H281">
        <v>0.170765</v>
      </c>
      <c r="J281" s="3">
        <f>(F281-A281)/365</f>
        <v>11.07123287671233</v>
      </c>
      <c r="K281" s="3">
        <f>(LN(D281/G281)+H281^2*J281/2)/(H281*SQRT(J281))</f>
        <v>0.7349419593826334</v>
      </c>
      <c r="L281" s="3">
        <f>K281-H281*SQRT(J281)</f>
        <v>0.16674768189430855</v>
      </c>
      <c r="M281" s="3">
        <f>EXP(-E281*J281)*(D281*_xlfn.NORM.DIST(K281,0,1,TRUE)-G281*_xlfn.NORM.DIST(L281,0,1,TRUE))</f>
        <v>2662.2231922262963</v>
      </c>
      <c r="N281" s="3">
        <f>EXP(-E281*J281)*(G281*_xlfn.NORM.DIST(-L281,0,1,TRUE)-D281*_xlfn.NORM.DIST(-K281,0,1,TRUE))</f>
        <v>842.16227656007209</v>
      </c>
      <c r="O281" s="3" t="b">
        <f>(M281-N281)=EXP(-E281*J281)*(D281-G281)</f>
        <v>1</v>
      </c>
    </row>
    <row r="282" spans="1:15" x14ac:dyDescent="0.3">
      <c r="A282" s="1">
        <v>45987</v>
      </c>
      <c r="B282" t="s">
        <v>15</v>
      </c>
      <c r="C282">
        <v>9691.58</v>
      </c>
      <c r="D282">
        <v>12521.221369999999</v>
      </c>
      <c r="E282" s="2">
        <v>3.9858253681633385E-2</v>
      </c>
      <c r="F282" s="1">
        <v>50028</v>
      </c>
      <c r="G282">
        <v>10176.159</v>
      </c>
      <c r="H282">
        <v>0.166769</v>
      </c>
      <c r="J282" s="3">
        <f>(F282-A282)/365</f>
        <v>11.07123287671233</v>
      </c>
      <c r="K282" s="3">
        <f>(LN(D282/G282)+H282^2*J282/2)/(H282*SQRT(J282))</f>
        <v>0.65117041097420292</v>
      </c>
      <c r="L282" s="3">
        <f>K282-H282*SQRT(J282)</f>
        <v>9.6272208986380781E-2</v>
      </c>
      <c r="M282" s="3">
        <f>EXP(-E282*J282)*(D282*_xlfn.NORM.DIST(K282,0,1,TRUE)-G282*_xlfn.NORM.DIST(L282,0,1,TRUE))</f>
        <v>2456.4877402702846</v>
      </c>
      <c r="N282" s="3">
        <f>EXP(-E282*J282)*(G282*_xlfn.NORM.DIST(-L282,0,1,TRUE)-D282*_xlfn.NORM.DIST(-K282,0,1,TRUE))</f>
        <v>948.11413162580618</v>
      </c>
      <c r="O282" s="3" t="b">
        <f>(M282-N282)=EXP(-E282*J282)*(D282-G282)</f>
        <v>1</v>
      </c>
    </row>
    <row r="283" spans="1:15" x14ac:dyDescent="0.3">
      <c r="A283" s="1">
        <v>45987</v>
      </c>
      <c r="B283" t="s">
        <v>15</v>
      </c>
      <c r="C283">
        <v>9691.58</v>
      </c>
      <c r="D283">
        <v>12521.221369999999</v>
      </c>
      <c r="E283" s="2">
        <v>3.9858253681633385E-2</v>
      </c>
      <c r="F283" s="1">
        <v>50028</v>
      </c>
      <c r="G283">
        <v>10660.738000000001</v>
      </c>
      <c r="H283">
        <v>0.16305800000000001</v>
      </c>
      <c r="J283" s="3">
        <f>(F283-A283)/365</f>
        <v>11.07123287671233</v>
      </c>
      <c r="K283" s="3">
        <f>(LN(D283/G283)+H283^2*J283/2)/(H283*SQRT(J283))</f>
        <v>0.56775874661519798</v>
      </c>
      <c r="L283" s="3">
        <f>K283-H283*SQRT(J283)</f>
        <v>2.520832645479465E-2</v>
      </c>
      <c r="M283" s="3">
        <f>EXP(-E283*J283)*(D283*_xlfn.NORM.DIST(K283,0,1,TRUE)-G283*_xlfn.NORM.DIST(L283,0,1,TRUE))</f>
        <v>2260.1586597348864</v>
      </c>
      <c r="N283" s="3">
        <f>EXP(-E283*J283)*(G283*_xlfn.NORM.DIST(-L283,0,1,TRUE)-D283*_xlfn.NORM.DIST(-K283,0,1,TRUE))</f>
        <v>1063.4723581121552</v>
      </c>
      <c r="O283" s="3" t="b">
        <f>(M283-N283)=EXP(-E283*J283)*(D283-G283)</f>
        <v>1</v>
      </c>
    </row>
    <row r="284" spans="1:15" x14ac:dyDescent="0.3">
      <c r="A284" s="1">
        <v>45987</v>
      </c>
      <c r="B284" t="s">
        <v>15</v>
      </c>
      <c r="C284">
        <v>9691.58</v>
      </c>
      <c r="D284">
        <v>12521.221369999999</v>
      </c>
      <c r="E284" s="2">
        <v>3.9858253681633385E-2</v>
      </c>
      <c r="F284" s="1">
        <v>50028</v>
      </c>
      <c r="G284">
        <v>11629.896000000001</v>
      </c>
      <c r="H284">
        <v>0.15646299999999999</v>
      </c>
      <c r="J284" s="3">
        <f>(F284-A284)/365</f>
        <v>11.07123287671233</v>
      </c>
      <c r="K284" s="3">
        <f>(LN(D284/G284)+H284^2*J284/2)/(H284*SQRT(J284))</f>
        <v>0.4021491524943831</v>
      </c>
      <c r="L284" s="3">
        <f>K284-H284*SQRT(J284)</f>
        <v>-0.11845741933623655</v>
      </c>
      <c r="M284" s="3">
        <f>EXP(-E284*J284)*(D284*_xlfn.NORM.DIST(K284,0,1,TRUE)-G284*_xlfn.NORM.DIST(L284,0,1,TRUE))</f>
        <v>1897.4499430671203</v>
      </c>
      <c r="N284" s="3">
        <f>EXP(-E284*J284)*(G284*_xlfn.NORM.DIST(-L284,0,1,TRUE)-D284*_xlfn.NORM.DIST(-K284,0,1,TRUE))</f>
        <v>1324.1382554878799</v>
      </c>
      <c r="O284" s="3" t="b">
        <f>(M284-N284)=EXP(-E284*J284)*(D284-G284)</f>
        <v>1</v>
      </c>
    </row>
    <row r="285" spans="1:15" x14ac:dyDescent="0.3">
      <c r="A285" s="1">
        <v>45987</v>
      </c>
      <c r="B285" t="s">
        <v>15</v>
      </c>
      <c r="C285">
        <v>9691.58</v>
      </c>
      <c r="D285">
        <v>12521.221369999999</v>
      </c>
      <c r="E285" s="2">
        <v>3.9858253681633385E-2</v>
      </c>
      <c r="F285" s="1">
        <v>50028</v>
      </c>
      <c r="G285">
        <v>12599.053999999998</v>
      </c>
      <c r="H285">
        <v>0.15093999999999999</v>
      </c>
      <c r="J285" s="3">
        <f>(F285-A285)/365</f>
        <v>11.07123287671233</v>
      </c>
      <c r="K285" s="3">
        <f>(LN(D285/G285)+H285^2*J285/2)/(H285*SQRT(J285))</f>
        <v>0.23877620593275387</v>
      </c>
      <c r="L285" s="3">
        <f>K285-H285*SQRT(J285)</f>
        <v>-0.26345343271736621</v>
      </c>
      <c r="M285" s="3">
        <f>EXP(-E285*J285)*(D285*_xlfn.NORM.DIST(K285,0,1,TRUE)-G285*_xlfn.NORM.DIST(L285,0,1,TRUE))</f>
        <v>1576.9168962292047</v>
      </c>
      <c r="N285" s="3">
        <f>EXP(-E285*J285)*(G285*_xlfn.NORM.DIST(-L285,0,1,TRUE)-D285*_xlfn.NORM.DIST(-K285,0,1,TRUE))</f>
        <v>1626.9798226934538</v>
      </c>
      <c r="O285" s="3" t="b">
        <f>(M285-N285)=EXP(-E285*J285)*(D285-G285)</f>
        <v>0</v>
      </c>
    </row>
    <row r="286" spans="1:15" x14ac:dyDescent="0.3">
      <c r="A286" s="1">
        <v>45987</v>
      </c>
      <c r="B286" t="s">
        <v>15</v>
      </c>
      <c r="C286">
        <v>9691.58</v>
      </c>
      <c r="D286">
        <v>12521.221369999999</v>
      </c>
      <c r="E286" s="2">
        <v>3.9858253681633385E-2</v>
      </c>
      <c r="F286" s="1">
        <v>50028</v>
      </c>
      <c r="G286">
        <v>13568.212</v>
      </c>
      <c r="H286">
        <v>0.14646000000000001</v>
      </c>
      <c r="J286" s="3">
        <f>(F286-A286)/365</f>
        <v>11.07123287671233</v>
      </c>
      <c r="K286" s="3">
        <f>(LN(D286/G286)+H286^2*J286/2)/(H286*SQRT(J286))</f>
        <v>7.8874003021874944E-2</v>
      </c>
      <c r="L286" s="3">
        <f>K286-H286*SQRT(J286)</f>
        <v>-0.40844912455661042</v>
      </c>
      <c r="M286" s="3">
        <f>EXP(-E286*J286)*(D286*_xlfn.NORM.DIST(K286,0,1,TRUE)-G286*_xlfn.NORM.DIST(L286,0,1,TRUE))</f>
        <v>1299.9539565096607</v>
      </c>
      <c r="N286" s="3">
        <f>EXP(-E286*J286)*(G286*_xlfn.NORM.DIST(-L286,0,1,TRUE)-D286*_xlfn.NORM.DIST(-K286,0,1,TRUE))</f>
        <v>1973.3914970174033</v>
      </c>
      <c r="O286" s="3" t="b">
        <f>(M286-N286)=EXP(-E286*J286)*(D286-G286)</f>
        <v>0</v>
      </c>
    </row>
    <row r="287" spans="1:15" x14ac:dyDescent="0.3">
      <c r="A287" s="1">
        <v>45987</v>
      </c>
      <c r="B287" t="s">
        <v>15</v>
      </c>
      <c r="C287">
        <v>9691.58</v>
      </c>
      <c r="D287">
        <v>12521.221369999999</v>
      </c>
      <c r="E287" s="2">
        <v>3.9858253681633385E-2</v>
      </c>
      <c r="F287" s="1">
        <v>50028</v>
      </c>
      <c r="G287">
        <v>14537.37</v>
      </c>
      <c r="H287">
        <v>0.14298</v>
      </c>
      <c r="J287" s="3">
        <f>(F287-A287)/365</f>
        <v>11.07123287671233</v>
      </c>
      <c r="K287" s="3">
        <f>(LN(D287/G287)+H287^2*J287/2)/(H287*SQRT(J287))</f>
        <v>-7.5947368291908901E-2</v>
      </c>
      <c r="L287" s="3">
        <f>K287-H287*SQRT(J287)</f>
        <v>-0.55169133102010659</v>
      </c>
      <c r="M287" s="3">
        <f>EXP(-E287*J287)*(D287*_xlfn.NORM.DIST(K287,0,1,TRUE)-G287*_xlfn.NORM.DIST(L287,0,1,TRUE))</f>
        <v>1066.0164687730176</v>
      </c>
      <c r="N287" s="3">
        <f>EXP(-E287*J287)*(G287*_xlfn.NORM.DIST(-L287,0,1,TRUE)-D287*_xlfn.NORM.DIST(-K287,0,1,TRUE))</f>
        <v>2362.8286233242525</v>
      </c>
      <c r="O287" s="3" t="b">
        <f>(M287-N287)=EXP(-E287*J287)*(D287-G287)</f>
        <v>1</v>
      </c>
    </row>
    <row r="288" spans="1:15" x14ac:dyDescent="0.3">
      <c r="A288" s="1">
        <v>45987</v>
      </c>
      <c r="B288" t="s">
        <v>15</v>
      </c>
      <c r="C288">
        <v>9691.58</v>
      </c>
      <c r="D288">
        <v>13009.0345</v>
      </c>
      <c r="E288" s="2">
        <v>4.0549352940124794E-2</v>
      </c>
      <c r="F288" s="1">
        <v>50392</v>
      </c>
      <c r="G288">
        <v>4845.79</v>
      </c>
      <c r="H288">
        <v>0.229132</v>
      </c>
      <c r="J288" s="3">
        <f>(F288-A288)/365</f>
        <v>12.068493150684931</v>
      </c>
      <c r="K288" s="3">
        <f>(LN(D288/G288)+H288^2*J288/2)/(H288*SQRT(J288))</f>
        <v>1.6386218879851751</v>
      </c>
      <c r="L288" s="3">
        <f>K288-H288*SQRT(J288)</f>
        <v>0.84262335003525457</v>
      </c>
      <c r="M288" s="3">
        <f>EXP(-E288*J288)*(D288*_xlfn.NORM.DIST(K288,0,1,TRUE)-G288*_xlfn.NORM.DIST(L288,0,1,TRUE))</f>
        <v>5193.5589133090298</v>
      </c>
      <c r="N288" s="3">
        <f>EXP(-E288*J288)*(G288*_xlfn.NORM.DIST(-L288,0,1,TRUE)-D288*_xlfn.NORM.DIST(-K288,0,1,TRUE))</f>
        <v>189.38617516576673</v>
      </c>
      <c r="O288" s="3" t="b">
        <f>(M288-N288)=EXP(-E288*J288)*(D288-G288)</f>
        <v>1</v>
      </c>
    </row>
    <row r="289" spans="1:15" x14ac:dyDescent="0.3">
      <c r="A289" s="1">
        <v>45987</v>
      </c>
      <c r="B289" t="s">
        <v>15</v>
      </c>
      <c r="C289">
        <v>9691.58</v>
      </c>
      <c r="D289">
        <v>13009.0345</v>
      </c>
      <c r="E289" s="2">
        <v>4.0549352940124794E-2</v>
      </c>
      <c r="F289" s="1">
        <v>50392</v>
      </c>
      <c r="G289">
        <v>5814.9480000000003</v>
      </c>
      <c r="H289">
        <v>0.21407000000000001</v>
      </c>
      <c r="J289" s="3">
        <f>(F289-A289)/365</f>
        <v>12.068493150684931</v>
      </c>
      <c r="K289" s="3">
        <f>(LN(D289/G289)+H289^2*J289/2)/(H289*SQRT(J289))</f>
        <v>1.454586372173299</v>
      </c>
      <c r="L289" s="3">
        <f>K289-H289*SQRT(J289)</f>
        <v>0.71091282583782656</v>
      </c>
      <c r="M289" s="3">
        <f>EXP(-E289*J289)*(D289*_xlfn.NORM.DIST(K289,0,1,TRUE)-G289*_xlfn.NORM.DIST(L289,0,1,TRUE))</f>
        <v>4679.1875969040029</v>
      </c>
      <c r="N289" s="3">
        <f>EXP(-E289*J289)*(G289*_xlfn.NORM.DIST(-L289,0,1,TRUE)-D289*_xlfn.NORM.DIST(-K289,0,1,TRUE))</f>
        <v>269.12104320167481</v>
      </c>
      <c r="O289" s="3" t="b">
        <f>(M289-N289)=EXP(-E289*J289)*(D289-G289)</f>
        <v>1</v>
      </c>
    </row>
    <row r="290" spans="1:15" x14ac:dyDescent="0.3">
      <c r="A290" s="1">
        <v>45987</v>
      </c>
      <c r="B290" t="s">
        <v>15</v>
      </c>
      <c r="C290">
        <v>9691.58</v>
      </c>
      <c r="D290">
        <v>13009.0345</v>
      </c>
      <c r="E290" s="2">
        <v>4.0549352940124794E-2</v>
      </c>
      <c r="F290" s="1">
        <v>50392</v>
      </c>
      <c r="G290">
        <v>6784.1059999999998</v>
      </c>
      <c r="H290">
        <v>0.20125999999999999</v>
      </c>
      <c r="J290" s="3">
        <f>(F290-A290)/365</f>
        <v>12.068493150684931</v>
      </c>
      <c r="K290" s="3">
        <f>(LN(D290/G290)+H290^2*J290/2)/(H290*SQRT(J290))</f>
        <v>1.2807754457230984</v>
      </c>
      <c r="L290" s="3">
        <f>K290-H290*SQRT(J290)</f>
        <v>0.58160350226779323</v>
      </c>
      <c r="M290" s="3">
        <f>EXP(-E290*J290)*(D290*_xlfn.NORM.DIST(K290,0,1,TRUE)-G290*_xlfn.NORM.DIST(L290,0,1,TRUE))</f>
        <v>4183.5851135732155</v>
      </c>
      <c r="N290" s="3">
        <f>EXP(-E290*J290)*(G290*_xlfn.NORM.DIST(-L290,0,1,TRUE)-D290*_xlfn.NORM.DIST(-K290,0,1,TRUE))</f>
        <v>367.62474431182125</v>
      </c>
      <c r="O290" s="3" t="b">
        <f>(M290-N290)=EXP(-E290*J290)*(D290-G290)</f>
        <v>1</v>
      </c>
    </row>
    <row r="291" spans="1:15" x14ac:dyDescent="0.3">
      <c r="A291" s="1">
        <v>45987</v>
      </c>
      <c r="B291" t="s">
        <v>15</v>
      </c>
      <c r="C291">
        <v>9691.58</v>
      </c>
      <c r="D291">
        <v>13009.0345</v>
      </c>
      <c r="E291" s="2">
        <v>4.0549352940124794E-2</v>
      </c>
      <c r="F291" s="1">
        <v>50392</v>
      </c>
      <c r="G291">
        <v>7753.2640000000001</v>
      </c>
      <c r="H291">
        <v>0.19018299999999999</v>
      </c>
      <c r="J291" s="3">
        <f>(F291-A291)/365</f>
        <v>12.068493150684931</v>
      </c>
      <c r="K291" s="3">
        <f>(LN(D291/G291)+H291^2*J291/2)/(H291*SQRT(J291))</f>
        <v>1.1136621802332562</v>
      </c>
      <c r="L291" s="3">
        <f>K291-H291*SQRT(J291)</f>
        <v>0.45297144326535255</v>
      </c>
      <c r="M291" s="3">
        <f>EXP(-E291*J291)*(D291*_xlfn.NORM.DIST(K291,0,1,TRUE)-G291*_xlfn.NORM.DIST(L291,0,1,TRUE))</f>
        <v>3709.5437441666741</v>
      </c>
      <c r="N291" s="3">
        <f>EXP(-E291*J291)*(G291*_xlfn.NORM.DIST(-L291,0,1,TRUE)-D291*_xlfn.NORM.DIST(-K291,0,1,TRUE))</f>
        <v>487.68955934621636</v>
      </c>
      <c r="O291" s="3" t="b">
        <f>(M291-N291)=EXP(-E291*J291)*(D291-G291)</f>
        <v>1</v>
      </c>
    </row>
    <row r="292" spans="1:15" x14ac:dyDescent="0.3">
      <c r="A292" s="1">
        <v>45987</v>
      </c>
      <c r="B292" t="s">
        <v>15</v>
      </c>
      <c r="C292">
        <v>9691.58</v>
      </c>
      <c r="D292">
        <v>13009.0345</v>
      </c>
      <c r="E292" s="2">
        <v>4.0549352940124794E-2</v>
      </c>
      <c r="F292" s="1">
        <v>50392</v>
      </c>
      <c r="G292">
        <v>8722.4219999999987</v>
      </c>
      <c r="H292">
        <v>0.18051800000000001</v>
      </c>
      <c r="J292" s="3">
        <f>(F292-A292)/365</f>
        <v>12.068493150684931</v>
      </c>
      <c r="K292" s="3">
        <f>(LN(D292/G292)+H292^2*J292/2)/(H292*SQRT(J292))</f>
        <v>0.95099592326143245</v>
      </c>
      <c r="L292" s="3">
        <f>K292-H292*SQRT(J292)</f>
        <v>0.32388114194043083</v>
      </c>
      <c r="M292" s="3">
        <f>EXP(-E292*J292)*(D292*_xlfn.NORM.DIST(K292,0,1,TRUE)-G292*_xlfn.NORM.DIST(L292,0,1,TRUE))</f>
        <v>3260.13229167382</v>
      </c>
      <c r="N292" s="3">
        <f>EXP(-E292*J292)*(G292*_xlfn.NORM.DIST(-L292,0,1,TRUE)-D292*_xlfn.NORM.DIST(-K292,0,1,TRUE))</f>
        <v>632.38429129429619</v>
      </c>
      <c r="O292" s="3" t="b">
        <f>(M292-N292)=EXP(-E292*J292)*(D292-G292)</f>
        <v>1</v>
      </c>
    </row>
    <row r="293" spans="1:15" x14ac:dyDescent="0.3">
      <c r="A293" s="1">
        <v>45987</v>
      </c>
      <c r="B293" t="s">
        <v>15</v>
      </c>
      <c r="C293">
        <v>9691.58</v>
      </c>
      <c r="D293">
        <v>13009.0345</v>
      </c>
      <c r="E293" s="2">
        <v>4.0549352940124794E-2</v>
      </c>
      <c r="F293" s="1">
        <v>50392</v>
      </c>
      <c r="G293">
        <v>9207.0010000000002</v>
      </c>
      <c r="H293">
        <v>0.17615</v>
      </c>
      <c r="J293" s="3">
        <f>(F293-A293)/365</f>
        <v>12.068493150684931</v>
      </c>
      <c r="K293" s="3">
        <f>(LN(D293/G293)+H293^2*J293/2)/(H293*SQRT(J293))</f>
        <v>0.87086163071058498</v>
      </c>
      <c r="L293" s="3">
        <f>K293-H293*SQRT(J293)</f>
        <v>0.25892116643724694</v>
      </c>
      <c r="M293" s="3">
        <f>EXP(-E293*J293)*(D293*_xlfn.NORM.DIST(K293,0,1,TRUE)-G293*_xlfn.NORM.DIST(L293,0,1,TRUE))</f>
        <v>3045.6885966735467</v>
      </c>
      <c r="N293" s="3">
        <f>EXP(-E293*J293)*(G293*_xlfn.NORM.DIST(-L293,0,1,TRUE)-D293*_xlfn.NORM.DIST(-K293,0,1,TRUE))</f>
        <v>714.99368851449094</v>
      </c>
      <c r="O293" s="3" t="b">
        <f>(M293-N293)=EXP(-E293*J293)*(D293-G293)</f>
        <v>1</v>
      </c>
    </row>
    <row r="294" spans="1:15" x14ac:dyDescent="0.3">
      <c r="A294" s="1">
        <v>45987</v>
      </c>
      <c r="B294" t="s">
        <v>15</v>
      </c>
      <c r="C294">
        <v>9691.58</v>
      </c>
      <c r="D294">
        <v>13009.0345</v>
      </c>
      <c r="E294" s="2">
        <v>4.0549352940124794E-2</v>
      </c>
      <c r="F294" s="1">
        <v>50392</v>
      </c>
      <c r="G294">
        <v>9691.58</v>
      </c>
      <c r="H294">
        <v>0.17206399999999999</v>
      </c>
      <c r="J294" s="3">
        <f>(F294-A294)/365</f>
        <v>12.068493150684931</v>
      </c>
      <c r="K294" s="3">
        <f>(LN(D294/G294)+H294^2*J294/2)/(H294*SQRT(J294))</f>
        <v>0.79136755041612084</v>
      </c>
      <c r="L294" s="3">
        <f>K294-H294*SQRT(J294)</f>
        <v>0.19362174261181975</v>
      </c>
      <c r="M294" s="3">
        <f>EXP(-E294*J294)*(D294*_xlfn.NORM.DIST(K294,0,1,TRUE)-G294*_xlfn.NORM.DIST(L294,0,1,TRUE))</f>
        <v>2838.6177650248496</v>
      </c>
      <c r="N294" s="3">
        <f>EXP(-E294*J294)*(G294*_xlfn.NORM.DIST(-L294,0,1,TRUE)-D294*_xlfn.NORM.DIST(-K294,0,1,TRUE))</f>
        <v>804.97594908626115</v>
      </c>
      <c r="O294" s="3" t="b">
        <f>(M294-N294)=EXP(-E294*J294)*(D294-G294)</f>
        <v>1</v>
      </c>
    </row>
    <row r="295" spans="1:15" x14ac:dyDescent="0.3">
      <c r="A295" s="1">
        <v>45987</v>
      </c>
      <c r="B295" t="s">
        <v>15</v>
      </c>
      <c r="C295">
        <v>9691.58</v>
      </c>
      <c r="D295">
        <v>13009.0345</v>
      </c>
      <c r="E295" s="2">
        <v>4.0549352940124794E-2</v>
      </c>
      <c r="F295" s="1">
        <v>50392</v>
      </c>
      <c r="G295">
        <v>10176.159</v>
      </c>
      <c r="H295">
        <v>0.16824800000000001</v>
      </c>
      <c r="J295" s="3">
        <f>(F295-A295)/365</f>
        <v>12.068493150684931</v>
      </c>
      <c r="K295" s="3">
        <f>(LN(D295/G295)+H295^2*J295/2)/(H295*SQRT(J295))</f>
        <v>0.71243449545882476</v>
      </c>
      <c r="L295" s="3">
        <f>K295-H295*SQRT(J295)</f>
        <v>0.12794537122913086</v>
      </c>
      <c r="M295" s="3">
        <f>EXP(-E295*J295)*(D295*_xlfn.NORM.DIST(K295,0,1,TRUE)-G295*_xlfn.NORM.DIST(L295,0,1,TRUE))</f>
        <v>2639.3417899014121</v>
      </c>
      <c r="N295" s="3">
        <f>EXP(-E295*J295)*(G295*_xlfn.NORM.DIST(-L295,0,1,TRUE)-D295*_xlfn.NORM.DIST(-K295,0,1,TRUE))</f>
        <v>902.75306618329103</v>
      </c>
      <c r="O295" s="3" t="b">
        <f>(M295-N295)=EXP(-E295*J295)*(D295-G295)</f>
        <v>1</v>
      </c>
    </row>
    <row r="296" spans="1:15" x14ac:dyDescent="0.3">
      <c r="A296" s="1">
        <v>45987</v>
      </c>
      <c r="B296" t="s">
        <v>15</v>
      </c>
      <c r="C296">
        <v>9691.58</v>
      </c>
      <c r="D296">
        <v>13009.0345</v>
      </c>
      <c r="E296" s="2">
        <v>4.0549352940124794E-2</v>
      </c>
      <c r="F296" s="1">
        <v>50392</v>
      </c>
      <c r="G296">
        <v>10660.738000000001</v>
      </c>
      <c r="H296">
        <v>0.16469</v>
      </c>
      <c r="J296" s="3">
        <f>(F296-A296)/365</f>
        <v>12.068493150684931</v>
      </c>
      <c r="K296" s="3">
        <f>(LN(D296/G296)+H296^2*J296/2)/(H296*SQRT(J296))</f>
        <v>0.63402177446512131</v>
      </c>
      <c r="L296" s="3">
        <f>K296-H296*SQRT(J296)</f>
        <v>6.1893048599801714E-2</v>
      </c>
      <c r="M296" s="3">
        <f>EXP(-E296*J296)*(D296*_xlfn.NORM.DIST(K296,0,1,TRUE)-G296*_xlfn.NORM.DIST(L296,0,1,TRUE))</f>
        <v>2448.2451827165141</v>
      </c>
      <c r="N296" s="3">
        <f>EXP(-E296*J296)*(G296*_xlfn.NORM.DIST(-L296,0,1,TRUE)-D296*_xlfn.NORM.DIST(-K296,0,1,TRUE))</f>
        <v>1008.7095512188625</v>
      </c>
      <c r="O296" s="3" t="b">
        <f>(M296-N296)=EXP(-E296*J296)*(D296-G296)</f>
        <v>1</v>
      </c>
    </row>
    <row r="297" spans="1:15" x14ac:dyDescent="0.3">
      <c r="A297" s="1">
        <v>45987</v>
      </c>
      <c r="B297" t="s">
        <v>15</v>
      </c>
      <c r="C297">
        <v>9691.58</v>
      </c>
      <c r="D297">
        <v>13009.0345</v>
      </c>
      <c r="E297" s="2">
        <v>4.0549352940124794E-2</v>
      </c>
      <c r="F297" s="1">
        <v>50392</v>
      </c>
      <c r="G297">
        <v>11629.896000000001</v>
      </c>
      <c r="H297">
        <v>0.15831600000000001</v>
      </c>
      <c r="J297" s="3">
        <f>(F297-A297)/365</f>
        <v>12.068493150684931</v>
      </c>
      <c r="K297" s="3">
        <f>(LN(D297/G297)+H297^2*J297/2)/(H297*SQRT(J297))</f>
        <v>0.47875277986165521</v>
      </c>
      <c r="L297" s="3">
        <f>K297-H297*SQRT(J297)</f>
        <v>-7.1232837747756017E-2</v>
      </c>
      <c r="M297" s="3">
        <f>EXP(-E297*J297)*(D297*_xlfn.NORM.DIST(K297,0,1,TRUE)-G297*_xlfn.NORM.DIST(L297,0,1,TRUE))</f>
        <v>2092.0306119572829</v>
      </c>
      <c r="N297" s="3">
        <f>EXP(-E297*J297)*(G297*_xlfn.NORM.DIST(-L297,0,1,TRUE)-D297*_xlfn.NORM.DIST(-K297,0,1,TRUE))</f>
        <v>1246.6011649005659</v>
      </c>
      <c r="O297" s="3" t="b">
        <f>(M297-N297)=EXP(-E297*J297)*(D297-G297)</f>
        <v>1</v>
      </c>
    </row>
    <row r="298" spans="1:15" x14ac:dyDescent="0.3">
      <c r="A298" s="1">
        <v>45987</v>
      </c>
      <c r="B298" t="s">
        <v>15</v>
      </c>
      <c r="C298">
        <v>9691.58</v>
      </c>
      <c r="D298">
        <v>13009.0345</v>
      </c>
      <c r="E298" s="2">
        <v>4.0549352940124794E-2</v>
      </c>
      <c r="F298" s="1">
        <v>50392</v>
      </c>
      <c r="G298">
        <v>12599.053999999998</v>
      </c>
      <c r="H298">
        <v>0.152888</v>
      </c>
      <c r="J298" s="3">
        <f>(F298-A298)/365</f>
        <v>12.068493150684931</v>
      </c>
      <c r="K298" s="3">
        <f>(LN(D298/G298)+H298^2*J298/2)/(H298*SQRT(J298))</f>
        <v>0.32585554597118044</v>
      </c>
      <c r="L298" s="3">
        <f>K298-H298*SQRT(J298)</f>
        <v>-0.20527334248650958</v>
      </c>
      <c r="M298" s="3">
        <f>EXP(-E298*J298)*(D298*_xlfn.NORM.DIST(K298,0,1,TRUE)-G298*_xlfn.NORM.DIST(L298,0,1,TRUE))</f>
        <v>1772.3666623382001</v>
      </c>
      <c r="N298" s="3">
        <f>EXP(-E298*J298)*(G298*_xlfn.NORM.DIST(-L298,0,1,TRUE)-D298*_xlfn.NORM.DIST(-K298,0,1,TRUE))</f>
        <v>1521.0433997224166</v>
      </c>
      <c r="O298" s="3" t="b">
        <f>(M298-N298)=EXP(-E298*J298)*(D298-G298)</f>
        <v>1</v>
      </c>
    </row>
    <row r="299" spans="1:15" x14ac:dyDescent="0.3">
      <c r="A299" s="1">
        <v>45987</v>
      </c>
      <c r="B299" t="s">
        <v>15</v>
      </c>
      <c r="C299">
        <v>9691.58</v>
      </c>
      <c r="D299">
        <v>13009.0345</v>
      </c>
      <c r="E299" s="2">
        <v>4.0549352940124794E-2</v>
      </c>
      <c r="F299" s="1">
        <v>50392</v>
      </c>
      <c r="G299">
        <v>13568.212</v>
      </c>
      <c r="H299">
        <v>0.14837</v>
      </c>
      <c r="J299" s="3">
        <f>(F299-A299)/365</f>
        <v>12.068493150684931</v>
      </c>
      <c r="K299" s="3">
        <f>(LN(D299/G299)+H299^2*J299/2)/(H299*SQRT(J299))</f>
        <v>0.17606580052878401</v>
      </c>
      <c r="L299" s="3">
        <f>K299-H299*SQRT(J299)</f>
        <v>-0.33936767482878155</v>
      </c>
      <c r="M299" s="3">
        <f>EXP(-E299*J299)*(D299*_xlfn.NORM.DIST(K299,0,1,TRUE)-G299*_xlfn.NORM.DIST(L299,0,1,TRUE))</f>
        <v>1490.7136888888622</v>
      </c>
      <c r="N299" s="3">
        <f>EXP(-E299*J299)*(G299*_xlfn.NORM.DIST(-L299,0,1,TRUE)-D299*_xlfn.NORM.DIST(-K299,0,1,TRUE))</f>
        <v>1833.4966107140137</v>
      </c>
      <c r="O299" s="3" t="b">
        <f>(M299-N299)=EXP(-E299*J299)*(D299-G299)</f>
        <v>1</v>
      </c>
    </row>
    <row r="300" spans="1:15" x14ac:dyDescent="0.3">
      <c r="A300" s="1">
        <v>45987</v>
      </c>
      <c r="B300" t="s">
        <v>15</v>
      </c>
      <c r="C300">
        <v>9691.58</v>
      </c>
      <c r="D300">
        <v>13009.0345</v>
      </c>
      <c r="E300" s="2">
        <v>4.0549352940124794E-2</v>
      </c>
      <c r="F300" s="1">
        <v>50392</v>
      </c>
      <c r="G300">
        <v>14537.37</v>
      </c>
      <c r="H300">
        <v>0.14472599999999999</v>
      </c>
      <c r="J300" s="3">
        <f>(F300-A300)/365</f>
        <v>12.068493150684931</v>
      </c>
      <c r="K300" s="3">
        <f>(LN(D300/G300)+H300^2*J300/2)/(H300*SQRT(J300))</f>
        <v>3.0456027262662933E-2</v>
      </c>
      <c r="L300" s="3">
        <f>K300-H300*SQRT(J300)</f>
        <v>-0.47231828799378395</v>
      </c>
      <c r="M300" s="3">
        <f>EXP(-E300*J300)*(D300*_xlfn.NORM.DIST(K300,0,1,TRUE)-G300*_xlfn.NORM.DIST(L300,0,1,TRUE))</f>
        <v>1247.227214861847</v>
      </c>
      <c r="N300" s="3">
        <f>EXP(-E300*J300)*(G300*_xlfn.NORM.DIST(-L300,0,1,TRUE)-D300*_xlfn.NORM.DIST(-K300,0,1,TRUE))</f>
        <v>2184.1163211279354</v>
      </c>
      <c r="O300" s="3" t="b">
        <f>(M300-N300)=EXP(-E300*J300)*(D300-G300)</f>
        <v>1</v>
      </c>
    </row>
    <row r="301" spans="1:15" x14ac:dyDescent="0.3">
      <c r="A301" s="1">
        <v>45987</v>
      </c>
      <c r="B301" t="s">
        <v>15</v>
      </c>
      <c r="C301">
        <v>9691.58</v>
      </c>
      <c r="D301">
        <v>13532.80681</v>
      </c>
      <c r="E301" s="2">
        <v>4.1193020895823038E-2</v>
      </c>
      <c r="F301" s="1">
        <v>50756</v>
      </c>
      <c r="G301">
        <v>4845.79</v>
      </c>
      <c r="H301">
        <v>0.22763</v>
      </c>
      <c r="J301" s="3">
        <f>(F301-A301)/365</f>
        <v>13.065753424657535</v>
      </c>
      <c r="K301" s="3">
        <f>(LN(D301/G301)+H301^2*J301/2)/(H301*SQRT(J301))</f>
        <v>1.6595802499325991</v>
      </c>
      <c r="L301" s="3">
        <f>K301-H301*SQRT(J301)</f>
        <v>0.83677561892276286</v>
      </c>
      <c r="M301" s="3">
        <f>EXP(-E301*J301)*(D301*_xlfn.NORM.DIST(K301,0,1,TRUE)-G301*_xlfn.NORM.DIST(L301,0,1,TRUE))</f>
        <v>5257.84213058566</v>
      </c>
      <c r="N301" s="3">
        <f>EXP(-E301*J301)*(G301*_xlfn.NORM.DIST(-L301,0,1,TRUE)-D301*_xlfn.NORM.DIST(-K301,0,1,TRUE))</f>
        <v>186.46838565070965</v>
      </c>
      <c r="O301" s="3" t="b">
        <f>(M301-N301)=EXP(-E301*J301)*(D301-G301)</f>
        <v>1</v>
      </c>
    </row>
    <row r="302" spans="1:15" x14ac:dyDescent="0.3">
      <c r="A302" s="1">
        <v>45987</v>
      </c>
      <c r="B302" t="s">
        <v>15</v>
      </c>
      <c r="C302">
        <v>9691.58</v>
      </c>
      <c r="D302">
        <v>13532.80681</v>
      </c>
      <c r="E302" s="2">
        <v>4.1193020895823038E-2</v>
      </c>
      <c r="F302" s="1">
        <v>50756</v>
      </c>
      <c r="G302">
        <v>5814.9480000000003</v>
      </c>
      <c r="H302">
        <v>0.213256</v>
      </c>
      <c r="J302" s="3">
        <f>(F302-A302)/365</f>
        <v>13.065753424657535</v>
      </c>
      <c r="K302" s="3">
        <f>(LN(D302/G302)+H302^2*J302/2)/(H302*SQRT(J302))</f>
        <v>1.4812111828179371</v>
      </c>
      <c r="L302" s="3">
        <f>K302-H302*SQRT(J302)</f>
        <v>0.71036364782415928</v>
      </c>
      <c r="M302" s="3">
        <f>EXP(-E302*J302)*(D302*_xlfn.NORM.DIST(K302,0,1,TRUE)-G302*_xlfn.NORM.DIST(L302,0,1,TRUE))</f>
        <v>4768.7449148677833</v>
      </c>
      <c r="N302" s="3">
        <f>EXP(-E302*J302)*(G302*_xlfn.NORM.DIST(-L302,0,1,TRUE)-D302*_xlfn.NORM.DIST(-K302,0,1,TRUE))</f>
        <v>263.15370994539956</v>
      </c>
      <c r="O302" s="3" t="b">
        <f>(M302-N302)=EXP(-E302*J302)*(D302-G302)</f>
        <v>1</v>
      </c>
    </row>
    <row r="303" spans="1:15" x14ac:dyDescent="0.3">
      <c r="A303" s="1">
        <v>45987</v>
      </c>
      <c r="B303" t="s">
        <v>15</v>
      </c>
      <c r="C303">
        <v>9691.58</v>
      </c>
      <c r="D303">
        <v>13532.80681</v>
      </c>
      <c r="E303" s="2">
        <v>4.1193020895823038E-2</v>
      </c>
      <c r="F303" s="1">
        <v>50756</v>
      </c>
      <c r="G303">
        <v>6784.1059999999998</v>
      </c>
      <c r="H303">
        <v>0.201039</v>
      </c>
      <c r="J303" s="3">
        <f>(F303-A303)/365</f>
        <v>13.065753424657535</v>
      </c>
      <c r="K303" s="3">
        <f>(LN(D303/G303)+H303^2*J303/2)/(H303*SQRT(J303))</f>
        <v>1.3135933291096631</v>
      </c>
      <c r="L303" s="3">
        <f>K303-H303*SQRT(J303)</f>
        <v>0.5869060725372145</v>
      </c>
      <c r="M303" s="3">
        <f>EXP(-E303*J303)*(D303*_xlfn.NORM.DIST(K303,0,1,TRUE)-G303*_xlfn.NORM.DIST(L303,0,1,TRUE))</f>
        <v>4296.8197457361293</v>
      </c>
      <c r="N303" s="3">
        <f>EXP(-E303*J303)*(G303*_xlfn.NORM.DIST(-L303,0,1,TRUE)-D303*_xlfn.NORM.DIST(-K303,0,1,TRUE))</f>
        <v>357.01108082631225</v>
      </c>
      <c r="O303" s="3" t="b">
        <f>(M303-N303)=EXP(-E303*J303)*(D303-G303)</f>
        <v>1</v>
      </c>
    </row>
    <row r="304" spans="1:15" x14ac:dyDescent="0.3">
      <c r="A304" s="1">
        <v>45987</v>
      </c>
      <c r="B304" t="s">
        <v>15</v>
      </c>
      <c r="C304">
        <v>9691.58</v>
      </c>
      <c r="D304">
        <v>13532.80681</v>
      </c>
      <c r="E304" s="2">
        <v>4.1193020895823038E-2</v>
      </c>
      <c r="F304" s="1">
        <v>50756</v>
      </c>
      <c r="G304">
        <v>7753.2640000000001</v>
      </c>
      <c r="H304">
        <v>0.19047500000000001</v>
      </c>
      <c r="J304" s="3">
        <f>(F304-A304)/365</f>
        <v>13.065753424657535</v>
      </c>
      <c r="K304" s="3">
        <f>(LN(D304/G304)+H304^2*J304/2)/(H304*SQRT(J304))</f>
        <v>1.1532580207291283</v>
      </c>
      <c r="L304" s="3">
        <f>K304-H304*SQRT(J304)</f>
        <v>0.46475601268274347</v>
      </c>
      <c r="M304" s="3">
        <f>EXP(-E304*J304)*(D304*_xlfn.NORM.DIST(K304,0,1,TRUE)-G304*_xlfn.NORM.DIST(L304,0,1,TRUE))</f>
        <v>3844.3826224984741</v>
      </c>
      <c r="N304" s="3">
        <f>EXP(-E304*J304)*(G304*_xlfn.NORM.DIST(-L304,0,1,TRUE)-D304*_xlfn.NORM.DIST(-K304,0,1,TRUE))</f>
        <v>470.35649760122379</v>
      </c>
      <c r="O304" s="3" t="b">
        <f>(M304-N304)=EXP(-E304*J304)*(D304-G304)</f>
        <v>1</v>
      </c>
    </row>
    <row r="305" spans="1:15" x14ac:dyDescent="0.3">
      <c r="A305" s="1">
        <v>45987</v>
      </c>
      <c r="B305" t="s">
        <v>15</v>
      </c>
      <c r="C305">
        <v>9691.58</v>
      </c>
      <c r="D305">
        <v>13532.80681</v>
      </c>
      <c r="E305" s="2">
        <v>4.1193020895823038E-2</v>
      </c>
      <c r="F305" s="1">
        <v>50756</v>
      </c>
      <c r="G305">
        <v>8722.4219999999987</v>
      </c>
      <c r="H305">
        <v>0.18124999999999999</v>
      </c>
      <c r="J305" s="3">
        <f>(F305-A305)/365</f>
        <v>13.065753424657535</v>
      </c>
      <c r="K305" s="3">
        <f>(LN(D305/G305)+H305^2*J305/2)/(H305*SQRT(J305))</f>
        <v>0.99798268246757194</v>
      </c>
      <c r="L305" s="3">
        <f>K305-H305*SQRT(J305)</f>
        <v>0.34282589570601674</v>
      </c>
      <c r="M305" s="3">
        <f>EXP(-E305*J305)*(D305*_xlfn.NORM.DIST(K305,0,1,TRUE)-G305*_xlfn.NORM.DIST(L305,0,1,TRUE))</f>
        <v>3413.9602057282495</v>
      </c>
      <c r="N305" s="3">
        <f>EXP(-E305*J305)*(G305*_xlfn.NORM.DIST(-L305,0,1,TRUE)-D305*_xlfn.NORM.DIST(-K305,0,1,TRUE))</f>
        <v>605.71662084356535</v>
      </c>
      <c r="O305" s="3" t="b">
        <f>(M305-N305)=EXP(-E305*J305)*(D305-G305)</f>
        <v>1</v>
      </c>
    </row>
    <row r="306" spans="1:15" x14ac:dyDescent="0.3">
      <c r="A306" s="1">
        <v>45987</v>
      </c>
      <c r="B306" t="s">
        <v>15</v>
      </c>
      <c r="C306">
        <v>9691.58</v>
      </c>
      <c r="D306">
        <v>13532.80681</v>
      </c>
      <c r="E306" s="2">
        <v>4.1193020895823038E-2</v>
      </c>
      <c r="F306" s="1">
        <v>50756</v>
      </c>
      <c r="G306">
        <v>9207.0010000000002</v>
      </c>
      <c r="H306">
        <v>0.17707200000000001</v>
      </c>
      <c r="J306" s="3">
        <f>(F306-A306)/365</f>
        <v>13.065753424657535</v>
      </c>
      <c r="K306" s="3">
        <f>(LN(D306/G306)+H306^2*J306/2)/(H306*SQRT(J306))</f>
        <v>0.92177699092823884</v>
      </c>
      <c r="L306" s="3">
        <f>K306-H306*SQRT(J306)</f>
        <v>0.28172224584993755</v>
      </c>
      <c r="M306" s="3">
        <f>EXP(-E306*J306)*(D306*_xlfn.NORM.DIST(K306,0,1,TRUE)-G306*_xlfn.NORM.DIST(L306,0,1,TRUE))</f>
        <v>3207.8237873621242</v>
      </c>
      <c r="N306" s="3">
        <f>EXP(-E306*J306)*(G306*_xlfn.NORM.DIST(-L306,0,1,TRUE)-D306*_xlfn.NORM.DIST(-K306,0,1,TRUE))</f>
        <v>682.47147248372607</v>
      </c>
      <c r="O306" s="3" t="b">
        <f>(M306-N306)=EXP(-E306*J306)*(D306-G306)</f>
        <v>1</v>
      </c>
    </row>
    <row r="307" spans="1:15" x14ac:dyDescent="0.3">
      <c r="A307" s="1">
        <v>45987</v>
      </c>
      <c r="B307" t="s">
        <v>15</v>
      </c>
      <c r="C307">
        <v>9691.58</v>
      </c>
      <c r="D307">
        <v>13532.80681</v>
      </c>
      <c r="E307" s="2">
        <v>4.1193020895823038E-2</v>
      </c>
      <c r="F307" s="1">
        <v>50756</v>
      </c>
      <c r="G307">
        <v>9691.58</v>
      </c>
      <c r="H307">
        <v>0.17315800000000001</v>
      </c>
      <c r="J307" s="3">
        <f>(F307-A307)/365</f>
        <v>13.065753424657535</v>
      </c>
      <c r="K307" s="3">
        <f>(LN(D307/G307)+H307^2*J307/2)/(H307*SQRT(J307))</f>
        <v>0.84635448470241781</v>
      </c>
      <c r="L307" s="3">
        <f>K307-H307*SQRT(J307)</f>
        <v>0.22044751156003217</v>
      </c>
      <c r="M307" s="3">
        <f>EXP(-E307*J307)*(D307*_xlfn.NORM.DIST(K307,0,1,TRUE)-G307*_xlfn.NORM.DIST(L307,0,1,TRUE))</f>
        <v>3008.1832986284167</v>
      </c>
      <c r="N307" s="3">
        <f>EXP(-E307*J307)*(G307*_xlfn.NORM.DIST(-L307,0,1,TRUE)-D307*_xlfn.NORM.DIST(-K307,0,1,TRUE))</f>
        <v>765.72225375630148</v>
      </c>
      <c r="O307" s="3" t="b">
        <f>(M307-N307)=EXP(-E307*J307)*(D307-G307)</f>
        <v>1</v>
      </c>
    </row>
    <row r="308" spans="1:15" x14ac:dyDescent="0.3">
      <c r="A308" s="1">
        <v>45987</v>
      </c>
      <c r="B308" t="s">
        <v>15</v>
      </c>
      <c r="C308">
        <v>9691.58</v>
      </c>
      <c r="D308">
        <v>13532.80681</v>
      </c>
      <c r="E308" s="2">
        <v>4.1193020895823038E-2</v>
      </c>
      <c r="F308" s="1">
        <v>50756</v>
      </c>
      <c r="G308">
        <v>10176.159</v>
      </c>
      <c r="H308">
        <v>0.169492</v>
      </c>
      <c r="J308" s="3">
        <f>(F308-A308)/365</f>
        <v>13.065753424657535</v>
      </c>
      <c r="K308" s="3">
        <f>(LN(D308/G308)+H308^2*J308/2)/(H308*SQRT(J308))</f>
        <v>0.77162875252802066</v>
      </c>
      <c r="L308" s="3">
        <f>K308-H308*SQRT(J308)</f>
        <v>0.15897311610435427</v>
      </c>
      <c r="M308" s="3">
        <f>EXP(-E308*J308)*(D308*_xlfn.NORM.DIST(K308,0,1,TRUE)-G308*_xlfn.NORM.DIST(L308,0,1,TRUE))</f>
        <v>2815.3586030976358</v>
      </c>
      <c r="N308" s="3">
        <f>EXP(-E308*J308)*(G308*_xlfn.NORM.DIST(-L308,0,1,TRUE)-D308*_xlfn.NORM.DIST(-K308,0,1,TRUE))</f>
        <v>855.78882823180277</v>
      </c>
      <c r="O308" s="3" t="b">
        <f>(M308-N308)=EXP(-E308*J308)*(D308-G308)</f>
        <v>1</v>
      </c>
    </row>
    <row r="309" spans="1:15" x14ac:dyDescent="0.3">
      <c r="A309" s="1">
        <v>45987</v>
      </c>
      <c r="B309" t="s">
        <v>15</v>
      </c>
      <c r="C309">
        <v>9691.58</v>
      </c>
      <c r="D309">
        <v>13532.80681</v>
      </c>
      <c r="E309" s="2">
        <v>4.1193020895823038E-2</v>
      </c>
      <c r="F309" s="1">
        <v>50756</v>
      </c>
      <c r="G309">
        <v>10660.738000000001</v>
      </c>
      <c r="H309">
        <v>0.16606199999999999</v>
      </c>
      <c r="J309" s="3">
        <f>(F309-A309)/365</f>
        <v>13.065753424657535</v>
      </c>
      <c r="K309" s="3">
        <f>(LN(D309/G309)+H309^2*J309/2)/(H309*SQRT(J309))</f>
        <v>0.69754025776393314</v>
      </c>
      <c r="L309" s="3">
        <f>K309-H309*SQRT(J309)</f>
        <v>9.7282898739395884E-2</v>
      </c>
      <c r="M309" s="3">
        <f>EXP(-E309*J309)*(D309*_xlfn.NORM.DIST(K309,0,1,TRUE)-G309*_xlfn.NORM.DIST(L309,0,1,TRUE))</f>
        <v>2629.6677608627097</v>
      </c>
      <c r="N309" s="3">
        <f>EXP(-E309*J309)*(G309*_xlfn.NORM.DIST(-L309,0,1,TRUE)-D309*_xlfn.NORM.DIST(-K309,0,1,TRUE))</f>
        <v>952.9892560031617</v>
      </c>
      <c r="O309" s="3" t="b">
        <f>(M309-N309)=EXP(-E309*J309)*(D309-G309)</f>
        <v>1</v>
      </c>
    </row>
    <row r="310" spans="1:15" x14ac:dyDescent="0.3">
      <c r="A310" s="1">
        <v>45987</v>
      </c>
      <c r="B310" t="s">
        <v>15</v>
      </c>
      <c r="C310">
        <v>9691.58</v>
      </c>
      <c r="D310">
        <v>13532.80681</v>
      </c>
      <c r="E310" s="2">
        <v>4.1193020895823038E-2</v>
      </c>
      <c r="F310" s="1">
        <v>50756</v>
      </c>
      <c r="G310">
        <v>11629.896000000001</v>
      </c>
      <c r="H310">
        <v>0.15986900000000001</v>
      </c>
      <c r="J310" s="3">
        <f>(F310-A310)/365</f>
        <v>13.065753424657535</v>
      </c>
      <c r="K310" s="3">
        <f>(LN(D310/G310)+H310^2*J310/2)/(H310*SQRT(J310))</f>
        <v>0.55117026913782741</v>
      </c>
      <c r="L310" s="3">
        <f>K310-H310*SQRT(J310)</f>
        <v>-2.67015120637345E-2</v>
      </c>
      <c r="M310" s="3">
        <f>EXP(-E310*J310)*(D310*_xlfn.NORM.DIST(K310,0,1,TRUE)-G310*_xlfn.NORM.DIST(L310,0,1,TRUE))</f>
        <v>2280.8303841345123</v>
      </c>
      <c r="N310" s="3">
        <f>EXP(-E310*J310)*(G310*_xlfn.NORM.DIST(-L310,0,1,TRUE)-D310*_xlfn.NORM.DIST(-K310,0,1,TRUE))</f>
        <v>1169.934419287531</v>
      </c>
      <c r="O310" s="3" t="b">
        <f>(M310-N310)=EXP(-E310*J310)*(D310-G310)</f>
        <v>1</v>
      </c>
    </row>
    <row r="311" spans="1:15" x14ac:dyDescent="0.3">
      <c r="A311" s="1">
        <v>45987</v>
      </c>
      <c r="B311" t="s">
        <v>15</v>
      </c>
      <c r="C311">
        <v>9691.58</v>
      </c>
      <c r="D311">
        <v>13532.80681</v>
      </c>
      <c r="E311" s="2">
        <v>4.1193020895823038E-2</v>
      </c>
      <c r="F311" s="1">
        <v>50756</v>
      </c>
      <c r="G311">
        <v>12599.053999999998</v>
      </c>
      <c r="H311">
        <v>0.15451899999999999</v>
      </c>
      <c r="J311" s="3">
        <f>(F311-A311)/365</f>
        <v>13.065753424657535</v>
      </c>
      <c r="K311" s="3">
        <f>(LN(D311/G311)+H311^2*J311/2)/(H311*SQRT(J311))</f>
        <v>0.40727181790617528</v>
      </c>
      <c r="L311" s="3">
        <f>K311-H311*SQRT(J311)</f>
        <v>-0.15126154227925226</v>
      </c>
      <c r="M311" s="3">
        <f>EXP(-E311*J311)*(D311*_xlfn.NORM.DIST(K311,0,1,TRUE)-G311*_xlfn.NORM.DIST(L311,0,1,TRUE))</f>
        <v>1963.7173941368787</v>
      </c>
      <c r="N311" s="3">
        <f>EXP(-E311*J311)*(G311*_xlfn.NORM.DIST(-L311,0,1,TRUE)-D311*_xlfn.NORM.DIST(-K311,0,1,TRUE))</f>
        <v>1418.6039693024622</v>
      </c>
      <c r="O311" s="3" t="b">
        <f>(M311-N311)=EXP(-E311*J311)*(D311-G311)</f>
        <v>1</v>
      </c>
    </row>
    <row r="312" spans="1:15" x14ac:dyDescent="0.3">
      <c r="A312" s="1">
        <v>45987</v>
      </c>
      <c r="B312" t="s">
        <v>15</v>
      </c>
      <c r="C312">
        <v>9691.58</v>
      </c>
      <c r="D312">
        <v>13532.80681</v>
      </c>
      <c r="E312" s="2">
        <v>4.1193020895823038E-2</v>
      </c>
      <c r="F312" s="1">
        <v>50756</v>
      </c>
      <c r="G312">
        <v>13568.212</v>
      </c>
      <c r="H312">
        <v>0.14996899999999999</v>
      </c>
      <c r="J312" s="3">
        <f>(F312-A312)/365</f>
        <v>13.065753424657535</v>
      </c>
      <c r="K312" s="3">
        <f>(LN(D312/G312)+H312^2*J312/2)/(H312*SQRT(J312))</f>
        <v>0.26622337954435515</v>
      </c>
      <c r="L312" s="3">
        <f>K312-H312*SQRT(J312)</f>
        <v>-0.27586328613202371</v>
      </c>
      <c r="M312" s="3">
        <f>EXP(-E312*J312)*(D312*_xlfn.NORM.DIST(K312,0,1,TRUE)-G312*_xlfn.NORM.DIST(L312,0,1,TRUE))</f>
        <v>1679.7278282569575</v>
      </c>
      <c r="N312" s="3">
        <f>EXP(-E312*J312)*(G312*_xlfn.NORM.DIST(-L312,0,1,TRUE)-D312*_xlfn.NORM.DIST(-K312,0,1,TRUE))</f>
        <v>1700.3969434351093</v>
      </c>
      <c r="O312" s="3" t="b">
        <f>(M312-N312)=EXP(-E312*J312)*(D312-G312)</f>
        <v>0</v>
      </c>
    </row>
    <row r="313" spans="1:15" x14ac:dyDescent="0.3">
      <c r="A313" s="1">
        <v>45987</v>
      </c>
      <c r="B313" t="s">
        <v>15</v>
      </c>
      <c r="C313">
        <v>9691.58</v>
      </c>
      <c r="D313">
        <v>13532.80681</v>
      </c>
      <c r="E313" s="2">
        <v>4.1193020895823038E-2</v>
      </c>
      <c r="F313" s="1">
        <v>50756</v>
      </c>
      <c r="G313">
        <v>14537.37</v>
      </c>
      <c r="H313">
        <v>0.14618900000000001</v>
      </c>
      <c r="J313" s="3">
        <f>(F313-A313)/365</f>
        <v>13.065753424657535</v>
      </c>
      <c r="K313" s="3">
        <f>(LN(D313/G313)+H313^2*J313/2)/(H313*SQRT(J313))</f>
        <v>0.12870339229679537</v>
      </c>
      <c r="L313" s="3">
        <f>K313-H313*SQRT(J313)</f>
        <v>-0.39971986563360462</v>
      </c>
      <c r="M313" s="3">
        <f>EXP(-E313*J313)*(D313*_xlfn.NORM.DIST(K313,0,1,TRUE)-G313*_xlfn.NORM.DIST(L313,0,1,TRUE))</f>
        <v>1429.4470844477291</v>
      </c>
      <c r="N313" s="3">
        <f>EXP(-E313*J313)*(G313*_xlfn.NORM.DIST(-L313,0,1,TRUE)-D313*_xlfn.NORM.DIST(-K313,0,1,TRUE))</f>
        <v>2015.8987396384496</v>
      </c>
      <c r="O313" s="3" t="b">
        <f>(M313-N313)=EXP(-E313*J313)*(D313-G313)</f>
        <v>1</v>
      </c>
    </row>
    <row r="314" spans="1:15" x14ac:dyDescent="0.3">
      <c r="A314" s="1">
        <v>45987</v>
      </c>
      <c r="B314" t="s">
        <v>15</v>
      </c>
      <c r="C314">
        <v>9691.58</v>
      </c>
      <c r="D314">
        <v>14077.64005</v>
      </c>
      <c r="E314" s="2">
        <v>4.1780547695433733E-2</v>
      </c>
      <c r="F314" s="1">
        <v>51120</v>
      </c>
      <c r="G314">
        <v>4845.79</v>
      </c>
      <c r="H314">
        <v>0.22633400000000001</v>
      </c>
      <c r="J314" s="3">
        <f>(F314-A314)/365</f>
        <v>14.063013698630137</v>
      </c>
      <c r="K314" s="3">
        <f>(LN(D314/G314)+H314^2*J314/2)/(H314*SQRT(J314))</f>
        <v>1.6808845255030906</v>
      </c>
      <c r="L314" s="3">
        <f>K314-H314*SQRT(J314)</f>
        <v>0.8321165233158947</v>
      </c>
      <c r="M314" s="3">
        <f>EXP(-E314*J314)*(D314*_xlfn.NORM.DIST(K314,0,1,TRUE)-G314*_xlfn.NORM.DIST(L314,0,1,TRUE))</f>
        <v>5312.787801436948</v>
      </c>
      <c r="N314" s="3">
        <f>EXP(-E314*J314)*(G314*_xlfn.NORM.DIST(-L314,0,1,TRUE)-D314*_xlfn.NORM.DIST(-K314,0,1,TRUE))</f>
        <v>182.82169289405357</v>
      </c>
      <c r="O314" s="3" t="b">
        <f>(M314-N314)=EXP(-E314*J314)*(D314-G314)</f>
        <v>0</v>
      </c>
    </row>
    <row r="315" spans="1:15" x14ac:dyDescent="0.3">
      <c r="A315" s="1">
        <v>45987</v>
      </c>
      <c r="B315" t="s">
        <v>15</v>
      </c>
      <c r="C315">
        <v>9691.58</v>
      </c>
      <c r="D315">
        <v>14077.64005</v>
      </c>
      <c r="E315" s="2">
        <v>4.1780547695433733E-2</v>
      </c>
      <c r="F315" s="1">
        <v>51120</v>
      </c>
      <c r="G315">
        <v>5814.9480000000003</v>
      </c>
      <c r="H315">
        <v>0.21255499999999999</v>
      </c>
      <c r="J315" s="3">
        <f>(F315-A315)/365</f>
        <v>14.063013698630137</v>
      </c>
      <c r="K315" s="3">
        <f>(LN(D315/G315)+H315^2*J315/2)/(H315*SQRT(J315))</f>
        <v>1.5077694980390375</v>
      </c>
      <c r="L315" s="3">
        <f>K315-H315*SQRT(J315)</f>
        <v>0.71067368961034616</v>
      </c>
      <c r="M315" s="3">
        <f>EXP(-E315*J315)*(D315*_xlfn.NORM.DIST(K315,0,1,TRUE)-G315*_xlfn.NORM.DIST(L315,0,1,TRUE))</f>
        <v>4847.7556181712062</v>
      </c>
      <c r="N315" s="3">
        <f>EXP(-E315*J315)*(G315*_xlfn.NORM.DIST(-L315,0,1,TRUE)-D315*_xlfn.NORM.DIST(-K315,0,1,TRUE))</f>
        <v>256.33245247249437</v>
      </c>
      <c r="O315" s="3" t="b">
        <f>(M315-N315)=EXP(-E315*J315)*(D315-G315)</f>
        <v>1</v>
      </c>
    </row>
    <row r="316" spans="1:15" x14ac:dyDescent="0.3">
      <c r="A316" s="1">
        <v>45987</v>
      </c>
      <c r="B316" t="s">
        <v>15</v>
      </c>
      <c r="C316">
        <v>9691.58</v>
      </c>
      <c r="D316">
        <v>14077.64005</v>
      </c>
      <c r="E316" s="2">
        <v>4.1780547695433733E-2</v>
      </c>
      <c r="F316" s="1">
        <v>51120</v>
      </c>
      <c r="G316">
        <v>6784.1059999999998</v>
      </c>
      <c r="H316">
        <v>0.200849</v>
      </c>
      <c r="J316" s="3">
        <f>(F316-A316)/365</f>
        <v>14.063013698630137</v>
      </c>
      <c r="K316" s="3">
        <f>(LN(D316/G316)+H316^2*J316/2)/(H316*SQRT(J316))</f>
        <v>1.3458069580530894</v>
      </c>
      <c r="L316" s="3">
        <f>K316-H316*SQRT(J316)</f>
        <v>0.59260945139789789</v>
      </c>
      <c r="M316" s="3">
        <f>EXP(-E316*J316)*(D316*_xlfn.NORM.DIST(K316,0,1,TRUE)-G316*_xlfn.NORM.DIST(L316,0,1,TRUE))</f>
        <v>4398.418880483202</v>
      </c>
      <c r="N316" s="3">
        <f>EXP(-E316*J316)*(G316*_xlfn.NORM.DIST(-L316,0,1,TRUE)-D316*_xlfn.NORM.DIST(-K316,0,1,TRUE))</f>
        <v>345.53865762867161</v>
      </c>
      <c r="O316" s="3" t="b">
        <f>(M316-N316)=EXP(-E316*J316)*(D316-G316)</f>
        <v>1</v>
      </c>
    </row>
    <row r="317" spans="1:15" x14ac:dyDescent="0.3">
      <c r="A317" s="1">
        <v>45987</v>
      </c>
      <c r="B317" t="s">
        <v>15</v>
      </c>
      <c r="C317">
        <v>9691.58</v>
      </c>
      <c r="D317">
        <v>14077.64005</v>
      </c>
      <c r="E317" s="2">
        <v>4.1780547695433733E-2</v>
      </c>
      <c r="F317" s="1">
        <v>51120</v>
      </c>
      <c r="G317">
        <v>7753.2640000000001</v>
      </c>
      <c r="H317">
        <v>0.19072600000000001</v>
      </c>
      <c r="J317" s="3">
        <f>(F317-A317)/365</f>
        <v>14.063013698630137</v>
      </c>
      <c r="K317" s="3">
        <f>(LN(D317/G317)+H317^2*J317/2)/(H317*SQRT(J317))</f>
        <v>1.1915721334860181</v>
      </c>
      <c r="L317" s="3">
        <f>K317-H317*SQRT(J317)</f>
        <v>0.47633657018065911</v>
      </c>
      <c r="M317" s="3">
        <f>EXP(-E317*J317)*(D317*_xlfn.NORM.DIST(K317,0,1,TRUE)-G317*_xlfn.NORM.DIST(L317,0,1,TRUE))</f>
        <v>3966.7054131104424</v>
      </c>
      <c r="N317" s="3">
        <f>EXP(-E317*J317)*(G317*_xlfn.NORM.DIST(-L317,0,1,TRUE)-D317*_xlfn.NORM.DIST(-K317,0,1,TRUE))</f>
        <v>452.36813310009558</v>
      </c>
      <c r="O317" s="3" t="b">
        <f>(M317-N317)=EXP(-E317*J317)*(D317-G317)</f>
        <v>1</v>
      </c>
    </row>
    <row r="318" spans="1:15" x14ac:dyDescent="0.3">
      <c r="A318" s="1">
        <v>45987</v>
      </c>
      <c r="B318" t="s">
        <v>15</v>
      </c>
      <c r="C318">
        <v>9691.58</v>
      </c>
      <c r="D318">
        <v>14077.64005</v>
      </c>
      <c r="E318" s="2">
        <v>4.1780547695433733E-2</v>
      </c>
      <c r="F318" s="1">
        <v>51120</v>
      </c>
      <c r="G318">
        <v>8722.4219999999987</v>
      </c>
      <c r="H318">
        <v>0.18187600000000001</v>
      </c>
      <c r="J318" s="3">
        <f>(F318-A318)/365</f>
        <v>14.063013698630137</v>
      </c>
      <c r="K318" s="3">
        <f>(LN(D318/G318)+H318^2*J318/2)/(H318*SQRT(J318))</f>
        <v>1.0428675224799049</v>
      </c>
      <c r="L318" s="3">
        <f>K318-H318*SQRT(J318)</f>
        <v>0.36082006533339372</v>
      </c>
      <c r="M318" s="3">
        <f>EXP(-E318*J318)*(D318*_xlfn.NORM.DIST(K318,0,1,TRUE)-G318*_xlfn.NORM.DIST(L318,0,1,TRUE))</f>
        <v>3554.6877195357347</v>
      </c>
      <c r="N318" s="3">
        <f>EXP(-E318*J318)*(G318*_xlfn.NORM.DIST(-L318,0,1,TRUE)-D318*_xlfn.NORM.DIST(-K318,0,1,TRUE))</f>
        <v>578.89338236956894</v>
      </c>
      <c r="O318" s="3" t="b">
        <f>(M318-N318)=EXP(-E318*J318)*(D318-G318)</f>
        <v>0</v>
      </c>
    </row>
    <row r="319" spans="1:15" x14ac:dyDescent="0.3">
      <c r="A319" s="1">
        <v>45987</v>
      </c>
      <c r="B319" t="s">
        <v>15</v>
      </c>
      <c r="C319">
        <v>9691.58</v>
      </c>
      <c r="D319">
        <v>14077.64005</v>
      </c>
      <c r="E319" s="2">
        <v>4.1780547695433733E-2</v>
      </c>
      <c r="F319" s="1">
        <v>51120</v>
      </c>
      <c r="G319">
        <v>9207.0010000000002</v>
      </c>
      <c r="H319">
        <v>0.17785999999999999</v>
      </c>
      <c r="J319" s="3">
        <f>(F319-A319)/365</f>
        <v>14.063013698630137</v>
      </c>
      <c r="K319" s="3">
        <f>(LN(D319/G319)+H319^2*J319/2)/(H319*SQRT(J319))</f>
        <v>0.97012284732265419</v>
      </c>
      <c r="L319" s="3">
        <f>K319-H319*SQRT(J319)</f>
        <v>0.30313566524212432</v>
      </c>
      <c r="M319" s="3">
        <f>EXP(-E319*J319)*(D319*_xlfn.NORM.DIST(K319,0,1,TRUE)-G319*_xlfn.NORM.DIST(L319,0,1,TRUE))</f>
        <v>3356.72546315402</v>
      </c>
      <c r="N319" s="3">
        <f>EXP(-E319*J319)*(G319*_xlfn.NORM.DIST(-L319,0,1,TRUE)-D319*_xlfn.NORM.DIST(-K319,0,1,TRUE))</f>
        <v>650.20259740994743</v>
      </c>
      <c r="O319" s="3" t="b">
        <f>(M319-N319)=EXP(-E319*J319)*(D319-G319)</f>
        <v>1</v>
      </c>
    </row>
    <row r="320" spans="1:15" x14ac:dyDescent="0.3">
      <c r="A320" s="1">
        <v>45987</v>
      </c>
      <c r="B320" t="s">
        <v>15</v>
      </c>
      <c r="C320">
        <v>9691.58</v>
      </c>
      <c r="D320">
        <v>14077.64005</v>
      </c>
      <c r="E320" s="2">
        <v>4.1780547695433733E-2</v>
      </c>
      <c r="F320" s="1">
        <v>51120</v>
      </c>
      <c r="G320">
        <v>9691.58</v>
      </c>
      <c r="H320">
        <v>0.174091</v>
      </c>
      <c r="J320" s="3">
        <f>(F320-A320)/365</f>
        <v>14.063013698630137</v>
      </c>
      <c r="K320" s="3">
        <f>(LN(D320/G320)+H320^2*J320/2)/(H320*SQRT(J320))</f>
        <v>0.89827072313175216</v>
      </c>
      <c r="L320" s="3">
        <f>K320-H320*SQRT(J320)</f>
        <v>0.24541754919954972</v>
      </c>
      <c r="M320" s="3">
        <f>EXP(-E320*J320)*(D320*_xlfn.NORM.DIST(K320,0,1,TRUE)-G320*_xlfn.NORM.DIST(L320,0,1,TRUE))</f>
        <v>3164.4920645287002</v>
      </c>
      <c r="N320" s="3">
        <f>EXP(-E320*J320)*(G320*_xlfn.NORM.DIST(-L320,0,1,TRUE)-D320*_xlfn.NORM.DIST(-K320,0,1,TRUE))</f>
        <v>727.24067020671873</v>
      </c>
      <c r="O320" s="3" t="b">
        <f>(M320-N320)=EXP(-E320*J320)*(D320-G320)</f>
        <v>1</v>
      </c>
    </row>
    <row r="321" spans="1:15" x14ac:dyDescent="0.3">
      <c r="A321" s="1">
        <v>45987</v>
      </c>
      <c r="B321" t="s">
        <v>15</v>
      </c>
      <c r="C321">
        <v>9691.58</v>
      </c>
      <c r="D321">
        <v>14077.64005</v>
      </c>
      <c r="E321" s="2">
        <v>4.1780547695433733E-2</v>
      </c>
      <c r="F321" s="1">
        <v>51120</v>
      </c>
      <c r="G321">
        <v>10176.159</v>
      </c>
      <c r="H321">
        <v>0.17055200000000001</v>
      </c>
      <c r="J321" s="3">
        <f>(F321-A321)/365</f>
        <v>14.063013698630137</v>
      </c>
      <c r="K321" s="3">
        <f>(LN(D321/G321)+H321^2*J321/2)/(H321*SQRT(J321))</f>
        <v>0.82721640421004416</v>
      </c>
      <c r="L321" s="3">
        <f>K321-H321*SQRT(J321)</f>
        <v>0.18763472267288828</v>
      </c>
      <c r="M321" s="3">
        <f>EXP(-E321*J321)*(D321*_xlfn.NORM.DIST(K321,0,1,TRUE)-G321*_xlfn.NORM.DIST(L321,0,1,TRUE))</f>
        <v>2978.2416222700517</v>
      </c>
      <c r="N321" s="3">
        <f>EXP(-E321*J321)*(G321*_xlfn.NORM.DIST(-L321,0,1,TRUE)-D321*_xlfn.NORM.DIST(-K321,0,1,TRUE))</f>
        <v>810.26169937016198</v>
      </c>
      <c r="O321" s="3" t="b">
        <f>(M321-N321)=EXP(-E321*J321)*(D321-G321)</f>
        <v>1</v>
      </c>
    </row>
    <row r="322" spans="1:15" x14ac:dyDescent="0.3">
      <c r="A322" s="1">
        <v>45987</v>
      </c>
      <c r="B322" t="s">
        <v>15</v>
      </c>
      <c r="C322">
        <v>9691.58</v>
      </c>
      <c r="D322">
        <v>14077.64005</v>
      </c>
      <c r="E322" s="2">
        <v>4.1780547695433733E-2</v>
      </c>
      <c r="F322" s="1">
        <v>51120</v>
      </c>
      <c r="G322">
        <v>10660.738000000001</v>
      </c>
      <c r="H322">
        <v>0.16722899999999999</v>
      </c>
      <c r="J322" s="3">
        <f>(F322-A322)/365</f>
        <v>14.063013698630137</v>
      </c>
      <c r="K322" s="3">
        <f>(LN(D322/G322)+H322^2*J322/2)/(H322*SQRT(J322))</f>
        <v>0.75688831518922106</v>
      </c>
      <c r="L322" s="3">
        <f>K322-H322*SQRT(J322)</f>
        <v>0.12976811125272647</v>
      </c>
      <c r="M322" s="3">
        <f>EXP(-E322*J322)*(D322*_xlfn.NORM.DIST(K322,0,1,TRUE)-G322*_xlfn.NORM.DIST(L322,0,1,TRUE))</f>
        <v>2798.2206498237761</v>
      </c>
      <c r="N322" s="3">
        <f>EXP(-E322*J322)*(G322*_xlfn.NORM.DIST(-L322,0,1,TRUE)-D322*_xlfn.NORM.DIST(-K322,0,1,TRUE))</f>
        <v>899.51219834597669</v>
      </c>
      <c r="O322" s="3" t="b">
        <f>(M322-N322)=EXP(-E322*J322)*(D322-G322)</f>
        <v>1</v>
      </c>
    </row>
    <row r="323" spans="1:15" x14ac:dyDescent="0.3">
      <c r="A323" s="1">
        <v>45987</v>
      </c>
      <c r="B323" t="s">
        <v>15</v>
      </c>
      <c r="C323">
        <v>9691.58</v>
      </c>
      <c r="D323">
        <v>14077.64005</v>
      </c>
      <c r="E323" s="2">
        <v>4.1780547695433733E-2</v>
      </c>
      <c r="F323" s="1">
        <v>51120</v>
      </c>
      <c r="G323">
        <v>11629.896000000001</v>
      </c>
      <c r="H323">
        <v>0.161191</v>
      </c>
      <c r="J323" s="3">
        <f>(F323-A323)/365</f>
        <v>14.063013698630137</v>
      </c>
      <c r="K323" s="3">
        <f>(LN(D323/G323)+H323^2*J323/2)/(H323*SQRT(J323))</f>
        <v>0.618228518649517</v>
      </c>
      <c r="L323" s="3">
        <f>K323-H323*SQRT(J323)</f>
        <v>1.3751228270889482E-2</v>
      </c>
      <c r="M323" s="3">
        <f>EXP(-E323*J323)*(D323*_xlfn.NORM.DIST(K323,0,1,TRUE)-G323*_xlfn.NORM.DIST(L323,0,1,TRUE))</f>
        <v>2457.8316109028142</v>
      </c>
      <c r="N323" s="3">
        <f>EXP(-E323*J323)*(G323*_xlfn.NORM.DIST(-L323,0,1,TRUE)-D323*_xlfn.NORM.DIST(-K323,0,1,TRUE))</f>
        <v>1097.6661022691983</v>
      </c>
      <c r="O323" s="3" t="b">
        <f>(M323-N323)=EXP(-E323*J323)*(D323-G323)</f>
        <v>1</v>
      </c>
    </row>
    <row r="324" spans="1:15" x14ac:dyDescent="0.3">
      <c r="A324" s="1">
        <v>45987</v>
      </c>
      <c r="B324" t="s">
        <v>15</v>
      </c>
      <c r="C324">
        <v>9691.58</v>
      </c>
      <c r="D324">
        <v>14077.64005</v>
      </c>
      <c r="E324" s="2">
        <v>4.1780547695433733E-2</v>
      </c>
      <c r="F324" s="1">
        <v>51120</v>
      </c>
      <c r="G324">
        <v>12599.053999999998</v>
      </c>
      <c r="H324">
        <v>0.15590499999999999</v>
      </c>
      <c r="J324" s="3">
        <f>(F324-A324)/365</f>
        <v>14.063013698630137</v>
      </c>
      <c r="K324" s="3">
        <f>(LN(D324/G324)+H324^2*J324/2)/(H324*SQRT(J324))</f>
        <v>0.48212479277813308</v>
      </c>
      <c r="L324" s="3">
        <f>K324-H324*SQRT(J324)</f>
        <v>-0.10252963554900635</v>
      </c>
      <c r="M324" s="3">
        <f>EXP(-E324*J324)*(D324*_xlfn.NORM.DIST(K324,0,1,TRUE)-G324*_xlfn.NORM.DIST(L324,0,1,TRUE))</f>
        <v>2144.979169003534</v>
      </c>
      <c r="N324" s="3">
        <f>EXP(-E324*J324)*(G324*_xlfn.NORM.DIST(-L324,0,1,TRUE)-D324*_xlfn.NORM.DIST(-K324,0,1,TRUE))</f>
        <v>1323.3566032140993</v>
      </c>
      <c r="O324" s="3" t="b">
        <f>(M324-N324)=EXP(-E324*J324)*(D324-G324)</f>
        <v>1</v>
      </c>
    </row>
    <row r="325" spans="1:15" x14ac:dyDescent="0.3">
      <c r="A325" s="1">
        <v>45987</v>
      </c>
      <c r="B325" t="s">
        <v>15</v>
      </c>
      <c r="C325">
        <v>9691.58</v>
      </c>
      <c r="D325">
        <v>14077.64005</v>
      </c>
      <c r="E325" s="2">
        <v>4.1780547695433733E-2</v>
      </c>
      <c r="F325" s="1">
        <v>51120</v>
      </c>
      <c r="G325">
        <v>13568.212</v>
      </c>
      <c r="H325">
        <v>0.15132799999999999</v>
      </c>
      <c r="J325" s="3">
        <f>(F325-A325)/365</f>
        <v>14.063013698630137</v>
      </c>
      <c r="K325" s="3">
        <f>(LN(D325/G325)+H325^2*J325/2)/(H325*SQRT(J325))</f>
        <v>0.34869434270883376</v>
      </c>
      <c r="L325" s="3">
        <f>K325-H325*SQRT(J325)</f>
        <v>-0.2187960221280178</v>
      </c>
      <c r="M325" s="3">
        <f>EXP(-E325*J325)*(D325*_xlfn.NORM.DIST(K325,0,1,TRUE)-G325*_xlfn.NORM.DIST(L325,0,1,TRUE))</f>
        <v>1860.9845806419296</v>
      </c>
      <c r="N325" s="3">
        <f>EXP(-E325*J325)*(G325*_xlfn.NORM.DIST(-L325,0,1,TRUE)-D325*_xlfn.NORM.DIST(-K325,0,1,TRUE))</f>
        <v>1577.904957696679</v>
      </c>
      <c r="O325" s="3" t="b">
        <f>(M325-N325)=EXP(-E325*J325)*(D325-G325)</f>
        <v>1</v>
      </c>
    </row>
    <row r="326" spans="1:15" x14ac:dyDescent="0.3">
      <c r="A326" s="1">
        <v>45987</v>
      </c>
      <c r="B326" t="s">
        <v>15</v>
      </c>
      <c r="C326">
        <v>9691.58</v>
      </c>
      <c r="D326">
        <v>14077.64005</v>
      </c>
      <c r="E326" s="2">
        <v>4.1780547695433733E-2</v>
      </c>
      <c r="F326" s="1">
        <v>51120</v>
      </c>
      <c r="G326">
        <v>14537.37</v>
      </c>
      <c r="H326">
        <v>0.14743200000000001</v>
      </c>
      <c r="J326" s="3">
        <f>(F326-A326)/365</f>
        <v>14.063013698630137</v>
      </c>
      <c r="K326" s="3">
        <f>(LN(D326/G326)+H326^2*J326/2)/(H326*SQRT(J326))</f>
        <v>0.21831741275843417</v>
      </c>
      <c r="L326" s="3">
        <f>K326-H326*SQRT(J326)</f>
        <v>-0.33456268523153931</v>
      </c>
      <c r="M326" s="3">
        <f>EXP(-E326*J326)*(D326*_xlfn.NORM.DIST(K326,0,1,TRUE)-G326*_xlfn.NORM.DIST(L326,0,1,TRUE))</f>
        <v>1606.6377698875033</v>
      </c>
      <c r="N326" s="3">
        <f>EXP(-E326*J326)*(G326*_xlfn.NORM.DIST(-L326,0,1,TRUE)-D326*_xlfn.NORM.DIST(-K326,0,1,TRUE))</f>
        <v>1862.1010897864362</v>
      </c>
      <c r="O326" s="3" t="b">
        <f>(M326-N326)=EXP(-E326*J326)*(D326-G326)</f>
        <v>0</v>
      </c>
    </row>
    <row r="327" spans="1:15" x14ac:dyDescent="0.3">
      <c r="A327" s="1">
        <v>45987</v>
      </c>
      <c r="B327" t="s">
        <v>15</v>
      </c>
      <c r="C327">
        <v>9691.58</v>
      </c>
      <c r="D327">
        <v>17161.578119999998</v>
      </c>
      <c r="E327" s="2">
        <v>4.3827739711965664E-2</v>
      </c>
      <c r="F327" s="1">
        <v>52947</v>
      </c>
      <c r="G327">
        <v>4845.79</v>
      </c>
      <c r="H327">
        <v>0.22181600000000001</v>
      </c>
      <c r="J327" s="3">
        <f>(F327-A327)/365</f>
        <v>19.068493150684933</v>
      </c>
      <c r="K327" s="3">
        <f>(LN(D327/G327)+H327^2*J327/2)/(H327*SQRT(J327))</f>
        <v>1.789844800394365</v>
      </c>
      <c r="L327" s="3">
        <f>K327-H327*SQRT(J327)</f>
        <v>0.82123009763334354</v>
      </c>
      <c r="M327" s="3">
        <f>EXP(-E327*J327)*(D327*_xlfn.NORM.DIST(K327,0,1,TRUE)-G327*_xlfn.NORM.DIST(L327,0,1,TRUE))</f>
        <v>5498.5338922112542</v>
      </c>
      <c r="N327" s="3">
        <f>EXP(-E327*J327)*(G327*_xlfn.NORM.DIST(-L327,0,1,TRUE)-D327*_xlfn.NORM.DIST(-K327,0,1,TRUE))</f>
        <v>158.92146176996056</v>
      </c>
      <c r="O327" s="3" t="b">
        <f>(M327-N327)=EXP(-E327*J327)*(D327-G327)</f>
        <v>1</v>
      </c>
    </row>
    <row r="328" spans="1:15" x14ac:dyDescent="0.3">
      <c r="A328" s="1">
        <v>45987</v>
      </c>
      <c r="B328" t="s">
        <v>15</v>
      </c>
      <c r="C328">
        <v>9691.58</v>
      </c>
      <c r="D328">
        <v>17161.578119999998</v>
      </c>
      <c r="E328" s="2">
        <v>4.3827739711965664E-2</v>
      </c>
      <c r="F328" s="1">
        <v>52947</v>
      </c>
      <c r="G328">
        <v>5814.9480000000003</v>
      </c>
      <c r="H328">
        <v>0.21012600000000001</v>
      </c>
      <c r="J328" s="3">
        <f>(F328-A328)/365</f>
        <v>19.068493150684933</v>
      </c>
      <c r="K328" s="3">
        <f>(LN(D328/G328)+H328^2*J328/2)/(H328*SQRT(J328))</f>
        <v>1.6382515001509115</v>
      </c>
      <c r="L328" s="3">
        <f>K328-H328*SQRT(J328)</f>
        <v>0.72068408827637398</v>
      </c>
      <c r="M328" s="3">
        <f>EXP(-E328*J328)*(D328*_xlfn.NORM.DIST(K328,0,1,TRUE)-G328*_xlfn.NORM.DIST(L328,0,1,TRUE))</f>
        <v>5136.1592412445007</v>
      </c>
      <c r="N328" s="3">
        <f>EXP(-E328*J328)*(G328*_xlfn.NORM.DIST(-L328,0,1,TRUE)-D328*_xlfn.NORM.DIST(-K328,0,1,TRUE))</f>
        <v>216.73332695947951</v>
      </c>
      <c r="O328" s="3" t="b">
        <f>(M328-N328)=EXP(-E328*J328)*(D328-G328)</f>
        <v>1</v>
      </c>
    </row>
    <row r="329" spans="1:15" x14ac:dyDescent="0.3">
      <c r="A329" s="1">
        <v>45987</v>
      </c>
      <c r="B329" t="s">
        <v>15</v>
      </c>
      <c r="C329">
        <v>9691.58</v>
      </c>
      <c r="D329">
        <v>17161.578119999998</v>
      </c>
      <c r="E329" s="2">
        <v>4.3827739711965664E-2</v>
      </c>
      <c r="F329" s="1">
        <v>52947</v>
      </c>
      <c r="G329">
        <v>6784.1059999999998</v>
      </c>
      <c r="H329">
        <v>0.20019500000000001</v>
      </c>
      <c r="J329" s="3">
        <f>(F329-A329)/365</f>
        <v>19.068493150684933</v>
      </c>
      <c r="K329" s="3">
        <f>(LN(D329/G329)+H329^2*J329/2)/(H329*SQRT(J329))</f>
        <v>1.4987446605169989</v>
      </c>
      <c r="L329" s="3">
        <f>K329-H329*SQRT(J329)</f>
        <v>0.62454342877878932</v>
      </c>
      <c r="M329" s="3">
        <f>EXP(-E329*J329)*(D329*_xlfn.NORM.DIST(K329,0,1,TRUE)-G329*_xlfn.NORM.DIST(L329,0,1,TRUE))</f>
        <v>4783.7320081082507</v>
      </c>
      <c r="N329" s="3">
        <f>EXP(-E329*J329)*(G329*_xlfn.NORM.DIST(-L329,0,1,TRUE)-D329*_xlfn.NORM.DIST(-K329,0,1,TRUE))</f>
        <v>284.4926099795041</v>
      </c>
      <c r="O329" s="3" t="b">
        <f>(M329-N329)=EXP(-E329*J329)*(D329-G329)</f>
        <v>1</v>
      </c>
    </row>
    <row r="330" spans="1:15" x14ac:dyDescent="0.3">
      <c r="A330" s="1">
        <v>45987</v>
      </c>
      <c r="B330" t="s">
        <v>15</v>
      </c>
      <c r="C330">
        <v>9691.58</v>
      </c>
      <c r="D330">
        <v>17161.578119999998</v>
      </c>
      <c r="E330" s="2">
        <v>4.3827739711965664E-2</v>
      </c>
      <c r="F330" s="1">
        <v>52947</v>
      </c>
      <c r="G330">
        <v>7753.2640000000001</v>
      </c>
      <c r="H330">
        <v>0.19158700000000001</v>
      </c>
      <c r="J330" s="3">
        <f>(F330-A330)/365</f>
        <v>19.068493150684933</v>
      </c>
      <c r="K330" s="3">
        <f>(LN(D330/G330)+H330^2*J330/2)/(H330*SQRT(J330))</f>
        <v>1.3680401667558761</v>
      </c>
      <c r="L330" s="3">
        <f>K330-H330*SQRT(J330)</f>
        <v>0.53142790678420671</v>
      </c>
      <c r="M330" s="3">
        <f>EXP(-E330*J330)*(D330*_xlfn.NORM.DIST(K330,0,1,TRUE)-G330*_xlfn.NORM.DIST(L330,0,1,TRUE))</f>
        <v>4442.0214906301408</v>
      </c>
      <c r="N330" s="3">
        <f>EXP(-E330*J330)*(G330*_xlfn.NORM.DIST(-L330,0,1,TRUE)-D330*_xlfn.NORM.DIST(-K330,0,1,TRUE))</f>
        <v>362.96860865766752</v>
      </c>
      <c r="O330" s="3" t="b">
        <f>(M330-N330)=EXP(-E330*J330)*(D330-G330)</f>
        <v>1</v>
      </c>
    </row>
    <row r="331" spans="1:15" x14ac:dyDescent="0.3">
      <c r="A331" s="1">
        <v>45987</v>
      </c>
      <c r="B331" t="s">
        <v>15</v>
      </c>
      <c r="C331">
        <v>9691.58</v>
      </c>
      <c r="D331">
        <v>17161.578119999998</v>
      </c>
      <c r="E331" s="2">
        <v>4.3827739711965664E-2</v>
      </c>
      <c r="F331" s="1">
        <v>52947</v>
      </c>
      <c r="G331">
        <v>8722.4219999999987</v>
      </c>
      <c r="H331">
        <v>0.18401100000000001</v>
      </c>
      <c r="J331" s="3">
        <f>(F331-A331)/365</f>
        <v>19.068493150684933</v>
      </c>
      <c r="K331" s="3">
        <f>(LN(D331/G331)+H331^2*J331/2)/(H331*SQRT(J331))</f>
        <v>1.2440188092218096</v>
      </c>
      <c r="L331" s="3">
        <f>K331-H331*SQRT(J331)</f>
        <v>0.44048903648333126</v>
      </c>
      <c r="M331" s="3">
        <f>EXP(-E331*J331)*(D331*_xlfn.NORM.DIST(K331,0,1,TRUE)-G331*_xlfn.NORM.DIST(L331,0,1,TRUE))</f>
        <v>4111.7809459846048</v>
      </c>
      <c r="N331" s="3">
        <f>EXP(-E331*J331)*(G331*_xlfn.NORM.DIST(-L331,0,1,TRUE)-D331*_xlfn.NORM.DIST(-K331,0,1,TRUE))</f>
        <v>452.91458016840579</v>
      </c>
      <c r="O331" s="3" t="b">
        <f>(M331-N331)=EXP(-E331*J331)*(D331-G331)</f>
        <v>1</v>
      </c>
    </row>
    <row r="332" spans="1:15" x14ac:dyDescent="0.3">
      <c r="A332" s="1">
        <v>45987</v>
      </c>
      <c r="B332" t="s">
        <v>15</v>
      </c>
      <c r="C332">
        <v>9691.58</v>
      </c>
      <c r="D332">
        <v>17161.578119999998</v>
      </c>
      <c r="E332" s="2">
        <v>4.3827739711965664E-2</v>
      </c>
      <c r="F332" s="1">
        <v>52947</v>
      </c>
      <c r="G332">
        <v>9207.0010000000002</v>
      </c>
      <c r="H332">
        <v>0.18054400000000001</v>
      </c>
      <c r="J332" s="3">
        <f>(F332-A332)/365</f>
        <v>19.068493150684933</v>
      </c>
      <c r="K332" s="3">
        <f>(LN(D332/G332)+H332^2*J332/2)/(H332*SQRT(J332))</f>
        <v>1.1840436547158446</v>
      </c>
      <c r="L332" s="3">
        <f>K332-H332*SQRT(J332)</f>
        <v>0.3956533993001583</v>
      </c>
      <c r="M332" s="3">
        <f>EXP(-E332*J332)*(D332*_xlfn.NORM.DIST(K332,0,1,TRUE)-G332*_xlfn.NORM.DIST(L332,0,1,TRUE))</f>
        <v>3951.1894478011559</v>
      </c>
      <c r="N332" s="3">
        <f>EXP(-E332*J332)*(G332*_xlfn.NORM.DIST(-L332,0,1,TRUE)-D332*_xlfn.NORM.DIST(-K332,0,1,TRUE))</f>
        <v>502.41634006309317</v>
      </c>
      <c r="O332" s="3" t="b">
        <f>(M332-N332)=EXP(-E332*J332)*(D332-G332)</f>
        <v>1</v>
      </c>
    </row>
    <row r="333" spans="1:15" x14ac:dyDescent="0.3">
      <c r="A333" s="1">
        <v>45987</v>
      </c>
      <c r="B333" t="s">
        <v>15</v>
      </c>
      <c r="C333">
        <v>9691.58</v>
      </c>
      <c r="D333">
        <v>17161.578119999998</v>
      </c>
      <c r="E333" s="2">
        <v>4.3827739711965664E-2</v>
      </c>
      <c r="F333" s="1">
        <v>52947</v>
      </c>
      <c r="G333">
        <v>9691.58</v>
      </c>
      <c r="H333">
        <v>0.177262</v>
      </c>
      <c r="J333" s="3">
        <f>(F333-A333)/365</f>
        <v>19.068493150684933</v>
      </c>
      <c r="K333" s="3">
        <f>(LN(D333/G333)+H333^2*J333/2)/(H333*SQRT(J333))</f>
        <v>1.1252364490101734</v>
      </c>
      <c r="L333" s="3">
        <f>K333-H333*SQRT(J333)</f>
        <v>0.35117786243019633</v>
      </c>
      <c r="M333" s="3">
        <f>EXP(-E333*J333)*(D333*_xlfn.NORM.DIST(K333,0,1,TRUE)-G333*_xlfn.NORM.DIST(L333,0,1,TRUE))</f>
        <v>3793.7222082670537</v>
      </c>
      <c r="N333" s="3">
        <f>EXP(-E333*J333)*(G333*_xlfn.NORM.DIST(-L333,0,1,TRUE)-D333*_xlfn.NORM.DIST(-K333,0,1,TRUE))</f>
        <v>555.04235860712799</v>
      </c>
      <c r="O333" s="3" t="b">
        <f>(M333-N333)=EXP(-E333*J333)*(D333-G333)</f>
        <v>1</v>
      </c>
    </row>
    <row r="334" spans="1:15" x14ac:dyDescent="0.3">
      <c r="A334" s="1">
        <v>45987</v>
      </c>
      <c r="B334" t="s">
        <v>15</v>
      </c>
      <c r="C334">
        <v>9691.58</v>
      </c>
      <c r="D334">
        <v>17161.578119999998</v>
      </c>
      <c r="E334" s="2">
        <v>4.3827739711965664E-2</v>
      </c>
      <c r="F334" s="1">
        <v>52947</v>
      </c>
      <c r="G334">
        <v>10176.159</v>
      </c>
      <c r="H334">
        <v>0.174148</v>
      </c>
      <c r="J334" s="3">
        <f>(F334-A334)/365</f>
        <v>19.068493150684933</v>
      </c>
      <c r="K334" s="3">
        <f>(LN(D334/G334)+H334^2*J334/2)/(H334*SQRT(J334))</f>
        <v>1.0674788496548011</v>
      </c>
      <c r="L334" s="3">
        <f>K334-H334*SQRT(J334)</f>
        <v>0.30701831814929037</v>
      </c>
      <c r="M334" s="3">
        <f>EXP(-E334*J334)*(D334*_xlfn.NORM.DIST(K334,0,1,TRUE)-G334*_xlfn.NORM.DIST(L334,0,1,TRUE))</f>
        <v>3639.4596133213199</v>
      </c>
      <c r="N334" s="3">
        <f>EXP(-E334*J334)*(G334*_xlfn.NORM.DIST(-L334,0,1,TRUE)-D334*_xlfn.NORM.DIST(-K334,0,1,TRUE))</f>
        <v>610.87302173953151</v>
      </c>
      <c r="O334" s="3" t="b">
        <f>(M334-N334)=EXP(-E334*J334)*(D334-G334)</f>
        <v>1</v>
      </c>
    </row>
    <row r="335" spans="1:15" x14ac:dyDescent="0.3">
      <c r="A335" s="1">
        <v>45987</v>
      </c>
      <c r="B335" t="s">
        <v>15</v>
      </c>
      <c r="C335">
        <v>9691.58</v>
      </c>
      <c r="D335">
        <v>17161.578119999998</v>
      </c>
      <c r="E335" s="2">
        <v>4.3827739711965664E-2</v>
      </c>
      <c r="F335" s="1">
        <v>52947</v>
      </c>
      <c r="G335">
        <v>10660.738000000001</v>
      </c>
      <c r="H335">
        <v>0.171184</v>
      </c>
      <c r="J335" s="3">
        <f>(F335-A335)/365</f>
        <v>19.068493150684933</v>
      </c>
      <c r="K335" s="3">
        <f>(LN(D335/G335)+H335^2*J335/2)/(H335*SQRT(J335))</f>
        <v>1.0106741542877049</v>
      </c>
      <c r="L335" s="3">
        <f>K335-H335*SQRT(J335)</f>
        <v>0.26315666556983652</v>
      </c>
      <c r="M335" s="3">
        <f>EXP(-E335*J335)*(D335*_xlfn.NORM.DIST(K335,0,1,TRUE)-G335*_xlfn.NORM.DIST(L335,0,1,TRUE))</f>
        <v>3488.452707152037</v>
      </c>
      <c r="N335" s="3">
        <f>EXP(-E335*J335)*(G335*_xlfn.NORM.DIST(-L335,0,1,TRUE)-D335*_xlfn.NORM.DIST(-K335,0,1,TRUE))</f>
        <v>669.95937364838562</v>
      </c>
      <c r="O335" s="3" t="b">
        <f>(M335-N335)=EXP(-E335*J335)*(D335-G335)</f>
        <v>1</v>
      </c>
    </row>
    <row r="336" spans="1:15" x14ac:dyDescent="0.3">
      <c r="A336" s="1">
        <v>45987</v>
      </c>
      <c r="B336" t="s">
        <v>15</v>
      </c>
      <c r="C336">
        <v>9691.58</v>
      </c>
      <c r="D336">
        <v>17161.578119999998</v>
      </c>
      <c r="E336" s="2">
        <v>4.3827739711965664E-2</v>
      </c>
      <c r="F336" s="1">
        <v>52947</v>
      </c>
      <c r="G336">
        <v>11629.896000000001</v>
      </c>
      <c r="H336">
        <v>0.165654</v>
      </c>
      <c r="J336" s="3">
        <f>(F336-A336)/365</f>
        <v>19.068493150684933</v>
      </c>
      <c r="K336" s="3">
        <f>(LN(D336/G336)+H336^2*J336/2)/(H336*SQRT(J336))</f>
        <v>0.89957590221961048</v>
      </c>
      <c r="L336" s="3">
        <f>K336-H336*SQRT(J336)</f>
        <v>0.17620653314265367</v>
      </c>
      <c r="M336" s="3">
        <f>EXP(-E336*J336)*(D336*_xlfn.NORM.DIST(K336,0,1,TRUE)-G336*_xlfn.NORM.DIST(L336,0,1,TRUE))</f>
        <v>3196.4537982165716</v>
      </c>
      <c r="N336" s="3">
        <f>EXP(-E336*J336)*(G336*_xlfn.NORM.DIST(-L336,0,1,TRUE)-D336*_xlfn.NORM.DIST(-K336,0,1,TRUE))</f>
        <v>798.14698086919429</v>
      </c>
      <c r="O336" s="3" t="b">
        <f>(M336-N336)=EXP(-E336*J336)*(D336-G336)</f>
        <v>1</v>
      </c>
    </row>
    <row r="337" spans="1:15" x14ac:dyDescent="0.3">
      <c r="A337" s="1">
        <v>45987</v>
      </c>
      <c r="B337" t="s">
        <v>15</v>
      </c>
      <c r="C337">
        <v>9691.58</v>
      </c>
      <c r="D337">
        <v>17161.578119999998</v>
      </c>
      <c r="E337" s="2">
        <v>4.3827739711965664E-2</v>
      </c>
      <c r="F337" s="1">
        <v>52947</v>
      </c>
      <c r="G337">
        <v>12599.053999999998</v>
      </c>
      <c r="H337">
        <v>0.160581</v>
      </c>
      <c r="J337" s="3">
        <f>(F337-A337)/365</f>
        <v>19.068493150684933</v>
      </c>
      <c r="K337" s="3">
        <f>(LN(D337/G337)+H337^2*J337/2)/(H337*SQRT(J337))</f>
        <v>0.79134415856624118</v>
      </c>
      <c r="L337" s="3">
        <f>K337-H337*SQRT(J337)</f>
        <v>9.0127305029672145E-2</v>
      </c>
      <c r="M337" s="3">
        <f>EXP(-E337*J337)*(D337*_xlfn.NORM.DIST(K337,0,1,TRUE)-G337*_xlfn.NORM.DIST(L337,0,1,TRUE))</f>
        <v>2918.1520235956987</v>
      </c>
      <c r="N337" s="3">
        <f>EXP(-E337*J337)*(G337*_xlfn.NORM.DIST(-L337,0,1,TRUE)-D337*_xlfn.NORM.DIST(-K337,0,1,TRUE))</f>
        <v>940.03172240459446</v>
      </c>
      <c r="O337" s="3" t="b">
        <f>(M337-N337)=EXP(-E337*J337)*(D337-G337)</f>
        <v>1</v>
      </c>
    </row>
    <row r="338" spans="1:15" x14ac:dyDescent="0.3">
      <c r="A338" s="1">
        <v>45987</v>
      </c>
      <c r="B338" t="s">
        <v>15</v>
      </c>
      <c r="C338">
        <v>9691.58</v>
      </c>
      <c r="D338">
        <v>17161.578119999998</v>
      </c>
      <c r="E338" s="2">
        <v>4.3827739711965664E-2</v>
      </c>
      <c r="F338" s="1">
        <v>52947</v>
      </c>
      <c r="G338">
        <v>13568.212</v>
      </c>
      <c r="H338">
        <v>0.15591099999999999</v>
      </c>
      <c r="J338" s="3">
        <f>(F338-A338)/365</f>
        <v>19.068493150684933</v>
      </c>
      <c r="K338" s="3">
        <f>(LN(D338/G338)+H338^2*J338/2)/(H338*SQRT(J338))</f>
        <v>0.68549876294489809</v>
      </c>
      <c r="L338" s="3">
        <f>K338-H338*SQRT(J338)</f>
        <v>4.6746252714497949E-3</v>
      </c>
      <c r="M338" s="3">
        <f>EXP(-E338*J338)*(D338*_xlfn.NORM.DIST(K338,0,1,TRUE)-G338*_xlfn.NORM.DIST(L338,0,1,TRUE))</f>
        <v>2654.0657933751486</v>
      </c>
      <c r="N338" s="3">
        <f>EXP(-E338*J338)*(G338*_xlfn.NORM.DIST(-L338,0,1,TRUE)-D338*_xlfn.NORM.DIST(-K338,0,1,TRUE))</f>
        <v>1096.1320083403177</v>
      </c>
      <c r="O338" s="3" t="b">
        <f>(M338-N338)=EXP(-E338*J338)*(D338-G338)</f>
        <v>1</v>
      </c>
    </row>
    <row r="339" spans="1:15" x14ac:dyDescent="0.3">
      <c r="A339" s="1">
        <v>45987</v>
      </c>
      <c r="B339" t="s">
        <v>15</v>
      </c>
      <c r="C339">
        <v>9691.58</v>
      </c>
      <c r="D339">
        <v>17161.578119999998</v>
      </c>
      <c r="E339" s="2">
        <v>4.3827739711965664E-2</v>
      </c>
      <c r="F339" s="1">
        <v>52947</v>
      </c>
      <c r="G339">
        <v>14537.37</v>
      </c>
      <c r="H339">
        <v>0.15163199999999999</v>
      </c>
      <c r="J339" s="3">
        <f>(F339-A339)/365</f>
        <v>19.068493150684933</v>
      </c>
      <c r="K339" s="3">
        <f>(LN(D339/G339)+H339^2*J339/2)/(H339*SQRT(J339))</f>
        <v>0.58169733647079902</v>
      </c>
      <c r="L339" s="3">
        <f>K339-H339*SQRT(J339)</f>
        <v>-8.0441484033849875E-2</v>
      </c>
      <c r="M339" s="3">
        <f>EXP(-E339*J339)*(D339*_xlfn.NORM.DIST(K339,0,1,TRUE)-G339*_xlfn.NORM.DIST(L339,0,1,TRUE))</f>
        <v>2404.9751856218577</v>
      </c>
      <c r="N339" s="3">
        <f>EXP(-E339*J339)*(G339*_xlfn.NORM.DIST(-L339,0,1,TRUE)-D339*_xlfn.NORM.DIST(-K339,0,1,TRUE))</f>
        <v>1267.2279167433016</v>
      </c>
      <c r="O339" s="3" t="b">
        <f>(M339-N339)=EXP(-E339*J339)*(D339-G339)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5C794-801F-4BE3-B70E-30B69EAF8C34}">
  <dimension ref="A1:O339"/>
  <sheetViews>
    <sheetView workbookViewId="0">
      <selection activeCell="E1" sqref="E1:E1048576"/>
    </sheetView>
  </sheetViews>
  <sheetFormatPr defaultRowHeight="14.4" x14ac:dyDescent="0.3"/>
  <cols>
    <col min="1" max="1" width="13.33203125" bestFit="1" customWidth="1"/>
    <col min="2" max="2" width="20.109375" bestFit="1" customWidth="1"/>
    <col min="3" max="3" width="8" bestFit="1" customWidth="1"/>
    <col min="4" max="4" width="11" bestFit="1" customWidth="1"/>
    <col min="5" max="5" width="12.88671875" bestFit="1" customWidth="1"/>
    <col min="6" max="6" width="9.5546875" bestFit="1" customWidth="1"/>
    <col min="7" max="7" width="12.33203125" bestFit="1" customWidth="1"/>
    <col min="8" max="8" width="9" bestFit="1" customWidth="1"/>
    <col min="10" max="10" width="12.21875" style="3" bestFit="1" customWidth="1"/>
    <col min="11" max="12" width="9" style="3" customWidth="1"/>
    <col min="13" max="13" width="8.88671875" style="3"/>
    <col min="14" max="14" width="12" style="3" bestFit="1" customWidth="1"/>
    <col min="15" max="15" width="11.33203125" style="3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11</v>
      </c>
      <c r="F1" s="4" t="s">
        <v>4</v>
      </c>
      <c r="G1" s="4" t="s">
        <v>8</v>
      </c>
      <c r="H1" s="4" t="s">
        <v>5</v>
      </c>
      <c r="J1" s="5" t="s">
        <v>7</v>
      </c>
      <c r="K1" s="5" t="s">
        <v>12</v>
      </c>
      <c r="L1" s="5" t="s">
        <v>13</v>
      </c>
      <c r="M1" s="5" t="s">
        <v>9</v>
      </c>
      <c r="N1" s="5" t="s">
        <v>10</v>
      </c>
      <c r="O1" s="5" t="s">
        <v>14</v>
      </c>
    </row>
    <row r="2" spans="1:15" x14ac:dyDescent="0.3">
      <c r="A2" s="1">
        <v>45987</v>
      </c>
      <c r="B2" t="s">
        <v>16</v>
      </c>
      <c r="C2">
        <v>5655.58</v>
      </c>
      <c r="D2">
        <v>5657.26109</v>
      </c>
      <c r="E2" s="2">
        <v>1.9528652117192992E-2</v>
      </c>
      <c r="F2" s="1">
        <v>45989</v>
      </c>
      <c r="G2">
        <v>2827.79</v>
      </c>
      <c r="H2">
        <v>1.773571</v>
      </c>
      <c r="J2" s="3">
        <f>(F2-A2)/365</f>
        <v>5.4794520547945206E-3</v>
      </c>
      <c r="K2" s="3">
        <f>(LN(D2/G2)+H2^2*J2/2)/(H2*SQRT(J2))</f>
        <v>5.3475952769794599</v>
      </c>
      <c r="L2" s="3">
        <f>K2-H2*SQRT(J2)</f>
        <v>5.2163096614951225</v>
      </c>
      <c r="M2" s="3">
        <f>EXP(-E2*J2)*(D2*_xlfn.NORM.DIST(K2,0,1,TRUE)-G2*_xlfn.NORM.DIST(L2,0,1,TRUE))</f>
        <v>2829.1683408800441</v>
      </c>
      <c r="N2" s="3">
        <f>EXP(-E2*J2)*(G2*_xlfn.NORM.DIST(-L2,0,1,TRUE)-D2*_xlfn.NORM.DIST(-K2,0,1,TRUE))</f>
        <v>5.9504026737567135E-6</v>
      </c>
      <c r="O2" s="3" t="b">
        <f>(M2-N2)=EXP(-E2*J2)*(D2-G2)</f>
        <v>1</v>
      </c>
    </row>
    <row r="3" spans="1:15" x14ac:dyDescent="0.3">
      <c r="A3" s="1">
        <v>45987</v>
      </c>
      <c r="B3" t="s">
        <v>16</v>
      </c>
      <c r="C3">
        <v>5655.58</v>
      </c>
      <c r="D3">
        <v>5657.26109</v>
      </c>
      <c r="E3" s="2">
        <v>1.9528652117192992E-2</v>
      </c>
      <c r="F3" s="1">
        <v>45989</v>
      </c>
      <c r="G3">
        <v>3393.348</v>
      </c>
      <c r="H3">
        <v>1.4080710000000001</v>
      </c>
      <c r="J3" s="3">
        <f>(F3-A3)/365</f>
        <v>5.4794520547945206E-3</v>
      </c>
      <c r="K3" s="3">
        <f>(LN(D3/G3)+H3^2*J3/2)/(H3*SQRT(J3))</f>
        <v>4.9559083361290277</v>
      </c>
      <c r="L3" s="3">
        <f>K3-H3*SQRT(J3)</f>
        <v>4.8516782444774122</v>
      </c>
      <c r="M3" s="3">
        <f>EXP(-E3*J3)*(D3*_xlfn.NORM.DIST(K3,0,1,TRUE)-G3*_xlfn.NORM.DIST(L3,0,1,TRUE))</f>
        <v>2263.6708906307676</v>
      </c>
      <c r="N3" s="3">
        <f>EXP(-E3*J3)*(G3*_xlfn.NORM.DIST(-L3,0,1,TRUE)-D3*_xlfn.NORM.DIST(-K3,0,1,TRUE))</f>
        <v>4.0662577608549523E-5</v>
      </c>
      <c r="O3" s="3" t="b">
        <f>(M3-N3)=EXP(-E3*J3)*(D3-G3)</f>
        <v>1</v>
      </c>
    </row>
    <row r="4" spans="1:15" x14ac:dyDescent="0.3">
      <c r="A4" s="1">
        <v>45987</v>
      </c>
      <c r="B4" t="s">
        <v>16</v>
      </c>
      <c r="C4">
        <v>5655.58</v>
      </c>
      <c r="D4">
        <v>5657.26109</v>
      </c>
      <c r="E4" s="2">
        <v>1.9528652117192992E-2</v>
      </c>
      <c r="F4" s="1">
        <v>45989</v>
      </c>
      <c r="G4">
        <v>3958.9059999999999</v>
      </c>
      <c r="H4">
        <v>1.0916589999999999</v>
      </c>
      <c r="J4" s="3">
        <f>(F4-A4)/365</f>
        <v>5.4794520547945206E-3</v>
      </c>
      <c r="K4" s="3">
        <f>(LN(D4/G4)+H4^2*J4/2)/(H4*SQRT(J4))</f>
        <v>4.4579265368275678</v>
      </c>
      <c r="L4" s="3">
        <f>K4-H4*SQRT(J4)</f>
        <v>4.3771183122264574</v>
      </c>
      <c r="M4" s="3">
        <f>EXP(-E4*J4)*(D4*_xlfn.NORM.DIST(K4,0,1,TRUE)-G4*_xlfn.NORM.DIST(L4,0,1,TRUE))</f>
        <v>1698.1737609232712</v>
      </c>
      <c r="N4" s="3">
        <f>EXP(-E4*J4)*(G4*_xlfn.NORM.DIST(-L4,0,1,TRUE)-D4*_xlfn.NORM.DIST(-K4,0,1,TRUE))</f>
        <v>3.9591653277759137E-4</v>
      </c>
      <c r="O4" s="3" t="b">
        <f>(M4-N4)=EXP(-E4*J4)*(D4-G4)</f>
        <v>1</v>
      </c>
    </row>
    <row r="5" spans="1:15" x14ac:dyDescent="0.3">
      <c r="A5" s="1">
        <v>45987</v>
      </c>
      <c r="B5" t="s">
        <v>16</v>
      </c>
      <c r="C5">
        <v>5655.58</v>
      </c>
      <c r="D5">
        <v>5657.26109</v>
      </c>
      <c r="E5" s="2">
        <v>1.9528652117192992E-2</v>
      </c>
      <c r="F5" s="1">
        <v>45989</v>
      </c>
      <c r="G5">
        <v>4524.4639999999999</v>
      </c>
      <c r="H5">
        <v>0.820044</v>
      </c>
      <c r="J5" s="3">
        <f>(F5-A5)/365</f>
        <v>5.4794520547945206E-3</v>
      </c>
      <c r="K5" s="3">
        <f>(LN(D5/G5)+H5^2*J5/2)/(H5*SQRT(J5))</f>
        <v>3.7112735966577062</v>
      </c>
      <c r="L5" s="3">
        <f>K5-H5*SQRT(J5)</f>
        <v>3.6505712163953778</v>
      </c>
      <c r="M5" s="3">
        <f>EXP(-E5*J5)*(D5*_xlfn.NORM.DIST(K5,0,1,TRUE)-G5*_xlfn.NORM.DIST(L5,0,1,TRUE))</f>
        <v>1132.6844921028244</v>
      </c>
      <c r="N5" s="3">
        <f>EXP(-E5*J5)*(G5*_xlfn.NORM.DIST(-L5,0,1,TRUE)-D5*_xlfn.NORM.DIST(-K5,0,1,TRUE))</f>
        <v>8.6120575387136061E-3</v>
      </c>
      <c r="O5" s="3" t="b">
        <f>(M5-N5)=EXP(-E5*J5)*(D5-G5)</f>
        <v>1</v>
      </c>
    </row>
    <row r="6" spans="1:15" x14ac:dyDescent="0.3">
      <c r="A6" s="1">
        <v>45987</v>
      </c>
      <c r="B6" t="s">
        <v>16</v>
      </c>
      <c r="C6">
        <v>5655.58</v>
      </c>
      <c r="D6">
        <v>5657.26109</v>
      </c>
      <c r="E6" s="2">
        <v>1.9528652117192992E-2</v>
      </c>
      <c r="F6" s="1">
        <v>45989</v>
      </c>
      <c r="G6">
        <v>5090.0219999999999</v>
      </c>
      <c r="H6">
        <v>0.50453999999999999</v>
      </c>
      <c r="J6" s="3">
        <f>(F6-A6)/365</f>
        <v>5.4794520547945206E-3</v>
      </c>
      <c r="K6" s="3">
        <f>(LN(D6/G6)+H6^2*J6/2)/(H6*SQRT(J6))</f>
        <v>2.8477005858649571</v>
      </c>
      <c r="L6" s="3">
        <f>K6-H6*SQRT(J6)</f>
        <v>2.8103528594776472</v>
      </c>
      <c r="M6" s="3">
        <f>EXP(-E6*J6)*(D6*_xlfn.NORM.DIST(K6,0,1,TRUE)-G6*_xlfn.NORM.DIST(L6,0,1,TRUE))</f>
        <v>567.31667817338734</v>
      </c>
      <c r="N6" s="3">
        <f>EXP(-E6*J6)*(G6*_xlfn.NORM.DIST(-L6,0,1,TRUE)-D6*_xlfn.NORM.DIST(-K6,0,1,TRUE))</f>
        <v>0.13828308955361193</v>
      </c>
      <c r="O6" s="3" t="b">
        <f>(M6-N6)=EXP(-E6*J6)*(D6-G6)</f>
        <v>1</v>
      </c>
    </row>
    <row r="7" spans="1:15" x14ac:dyDescent="0.3">
      <c r="A7" s="1">
        <v>45987</v>
      </c>
      <c r="B7" t="s">
        <v>16</v>
      </c>
      <c r="C7">
        <v>5655.58</v>
      </c>
      <c r="D7">
        <v>5657.26109</v>
      </c>
      <c r="E7" s="2">
        <v>1.9528652117192992E-2</v>
      </c>
      <c r="F7" s="1">
        <v>45989</v>
      </c>
      <c r="G7">
        <v>5372.8009999999995</v>
      </c>
      <c r="H7">
        <v>0.314697</v>
      </c>
      <c r="J7" s="3">
        <f>(F7-A7)/365</f>
        <v>5.4794520547945206E-3</v>
      </c>
      <c r="K7" s="3">
        <f>(LN(D7/G7)+H7^2*J7/2)/(H7*SQRT(J7))</f>
        <v>2.226314915326403</v>
      </c>
      <c r="L7" s="3">
        <f>K7-H7*SQRT(J7)</f>
        <v>2.2030199982714476</v>
      </c>
      <c r="M7" s="3">
        <f>EXP(-E7*J7)*(D7*_xlfn.NORM.DIST(K7,0,1,TRUE)-G7*_xlfn.NORM.DIST(L7,0,1,TRUE))</f>
        <v>285.03148550865518</v>
      </c>
      <c r="N7" s="3">
        <f>EXP(-E7*J7)*(G7*_xlfn.NORM.DIST(-L7,0,1,TRUE)-D7*_xlfn.NORM.DIST(-K7,0,1,TRUE))</f>
        <v>0.60183290554742452</v>
      </c>
      <c r="O7" s="3" t="b">
        <f>(M7-N7)=EXP(-E7*J7)*(D7-G7)</f>
        <v>1</v>
      </c>
    </row>
    <row r="8" spans="1:15" x14ac:dyDescent="0.3">
      <c r="A8" s="1">
        <v>45987</v>
      </c>
      <c r="B8" t="s">
        <v>16</v>
      </c>
      <c r="C8">
        <v>5655.58</v>
      </c>
      <c r="D8">
        <v>5657.26109</v>
      </c>
      <c r="E8" s="2">
        <v>1.9528652117192992E-2</v>
      </c>
      <c r="F8" s="1">
        <v>45989</v>
      </c>
      <c r="G8">
        <v>5655.58</v>
      </c>
      <c r="H8">
        <v>0.16359399999999999</v>
      </c>
      <c r="J8" s="3">
        <f>(F8-A8)/365</f>
        <v>5.4794520547945206E-3</v>
      </c>
      <c r="K8" s="3">
        <f>(LN(D8/G8)+H8^2*J8/2)/(H8*SQRT(J8))</f>
        <v>3.0597077056077705E-2</v>
      </c>
      <c r="L8" s="3">
        <f>K8-H8*SQRT(J8)</f>
        <v>1.8487305877171002E-2</v>
      </c>
      <c r="M8" s="3">
        <f>EXP(-E8*J8)*(D8*_xlfn.NORM.DIST(K8,0,1,TRUE)-G8*_xlfn.NORM.DIST(L8,0,1,TRUE))</f>
        <v>28.172324155888379</v>
      </c>
      <c r="N8" s="3">
        <f>EXP(-E8*J8)*(G8*_xlfn.NORM.DIST(-L8,0,1,TRUE)-D8*_xlfn.NORM.DIST(-K8,0,1,TRUE))</f>
        <v>26.491414033506366</v>
      </c>
      <c r="O8" s="3" t="b">
        <f>(M8-N8)=EXP(-E8*J8)*(D8-G8)</f>
        <v>0</v>
      </c>
    </row>
    <row r="9" spans="1:15" x14ac:dyDescent="0.3">
      <c r="A9" s="1">
        <v>45987</v>
      </c>
      <c r="B9" t="s">
        <v>16</v>
      </c>
      <c r="C9">
        <v>5655.58</v>
      </c>
      <c r="D9">
        <v>5657.26109</v>
      </c>
      <c r="E9" s="2">
        <v>1.9528652117192992E-2</v>
      </c>
      <c r="F9" s="1">
        <v>45989</v>
      </c>
      <c r="G9">
        <v>5938.3590000000004</v>
      </c>
      <c r="H9">
        <v>0.24456</v>
      </c>
      <c r="J9" s="3">
        <f>(F9-A9)/365</f>
        <v>5.4794520547945206E-3</v>
      </c>
      <c r="K9" s="3">
        <f>(LN(D9/G9)+H9^2*J9/2)/(H9*SQRT(J9))</f>
        <v>-2.6696524967438577</v>
      </c>
      <c r="L9" s="3">
        <f>K9-H9*SQRT(J9)</f>
        <v>-2.6877556401324503</v>
      </c>
      <c r="M9" s="3">
        <f>EXP(-E9*J9)*(D9*_xlfn.NORM.DIST(K9,0,1,TRUE)-G9*_xlfn.NORM.DIST(L9,0,1,TRUE))</f>
        <v>0.1192174255123496</v>
      </c>
      <c r="N9" s="3">
        <f>EXP(-E9*J9)*(G9*_xlfn.NORM.DIST(-L9,0,1,TRUE)-D9*_xlfn.NORM.DIST(-K9,0,1,TRUE))</f>
        <v>281.18704978385682</v>
      </c>
      <c r="O9" s="3" t="b">
        <f>(M9-N9)=EXP(-E9*J9)*(D9-G9)</f>
        <v>0</v>
      </c>
    </row>
    <row r="10" spans="1:15" x14ac:dyDescent="0.3">
      <c r="A10" s="1">
        <v>45987</v>
      </c>
      <c r="B10" t="s">
        <v>16</v>
      </c>
      <c r="C10">
        <v>5655.58</v>
      </c>
      <c r="D10">
        <v>5657.26109</v>
      </c>
      <c r="E10" s="2">
        <v>1.9528652117192992E-2</v>
      </c>
      <c r="F10" s="1">
        <v>45989</v>
      </c>
      <c r="G10">
        <v>6221.1380000000008</v>
      </c>
      <c r="H10">
        <v>0.36579699999999998</v>
      </c>
      <c r="J10" s="3">
        <f>(F10-A10)/365</f>
        <v>5.4794520547945206E-3</v>
      </c>
      <c r="K10" s="3">
        <f>(LN(D10/G10)+H10^2*J10/2)/(H10*SQRT(J10))</f>
        <v>-3.4953874295931953</v>
      </c>
      <c r="L10" s="3">
        <f>K10-H10*SQRT(J10)</f>
        <v>-3.5224649383522606</v>
      </c>
      <c r="M10" s="3">
        <f>EXP(-E10*J10)*(D10*_xlfn.NORM.DIST(K10,0,1,TRUE)-G10*_xlfn.NORM.DIST(L10,0,1,TRUE))</f>
        <v>9.0644786602736751E-3</v>
      </c>
      <c r="N10" s="3">
        <f>EXP(-E10*J10)*(G10*_xlfn.NORM.DIST(-L10,0,1,TRUE)-D10*_xlfn.NORM.DIST(-K10,0,1,TRUE))</f>
        <v>563.82563931773245</v>
      </c>
      <c r="O10" s="3" t="b">
        <f>(M10-N10)=EXP(-E10*J10)*(D10-G10)</f>
        <v>0</v>
      </c>
    </row>
    <row r="11" spans="1:15" x14ac:dyDescent="0.3">
      <c r="A11" s="1">
        <v>45987</v>
      </c>
      <c r="B11" t="s">
        <v>16</v>
      </c>
      <c r="C11">
        <v>5655.58</v>
      </c>
      <c r="D11">
        <v>5657.26109</v>
      </c>
      <c r="E11" s="2">
        <v>1.9528652117192992E-2</v>
      </c>
      <c r="F11" s="1">
        <v>45989</v>
      </c>
      <c r="G11">
        <v>6786.6959999999999</v>
      </c>
      <c r="H11">
        <v>0.56608000000000003</v>
      </c>
      <c r="J11" s="3">
        <f>(F11-A11)/365</f>
        <v>5.4794520547945206E-3</v>
      </c>
      <c r="K11" s="3">
        <f>(LN(D11/G11)+H11^2*J11/2)/(H11*SQRT(J11))</f>
        <v>-4.3229815325557546</v>
      </c>
      <c r="L11" s="3">
        <f>K11-H11*SQRT(J11)</f>
        <v>-4.3648846541186206</v>
      </c>
      <c r="M11" s="3">
        <f>EXP(-E11*J11)*(D11*_xlfn.NORM.DIST(K11,0,1,TRUE)-G11*_xlfn.NORM.DIST(L11,0,1,TRUE))</f>
        <v>3.8243300622328941E-4</v>
      </c>
      <c r="N11" s="3">
        <f>EXP(-E11*J11)*(G11*_xlfn.NORM.DIST(-L11,0,1,TRUE)-D11*_xlfn.NORM.DIST(-K11,0,1,TRUE))</f>
        <v>1129.3144422335283</v>
      </c>
      <c r="O11" s="3" t="b">
        <f>(M11-N11)=EXP(-E11*J11)*(D11-G11)</f>
        <v>1</v>
      </c>
    </row>
    <row r="12" spans="1:15" x14ac:dyDescent="0.3">
      <c r="A12" s="1">
        <v>45987</v>
      </c>
      <c r="B12" t="s">
        <v>16</v>
      </c>
      <c r="C12">
        <v>5655.58</v>
      </c>
      <c r="D12">
        <v>5657.26109</v>
      </c>
      <c r="E12" s="2">
        <v>1.9528652117192992E-2</v>
      </c>
      <c r="F12" s="1">
        <v>45989</v>
      </c>
      <c r="G12">
        <v>7352.2539999999999</v>
      </c>
      <c r="H12">
        <v>0.73575999999999997</v>
      </c>
      <c r="J12" s="3">
        <f>(F12-A12)/365</f>
        <v>5.4794520547945206E-3</v>
      </c>
      <c r="K12" s="3">
        <f>(LN(D12/G12)+H12^2*J12/2)/(H12*SQRT(J12))</f>
        <v>-4.784569813742876</v>
      </c>
      <c r="L12" s="3">
        <f>K12-H12*SQRT(J12)</f>
        <v>-4.8390332124163749</v>
      </c>
      <c r="M12" s="3">
        <f>EXP(-E12*J12)*(D12*_xlfn.NORM.DIST(K12,0,1,TRUE)-G12*_xlfn.NORM.DIST(L12,0,1,TRUE))</f>
        <v>5.0638839844768097E-5</v>
      </c>
      <c r="N12" s="3">
        <f>EXP(-E12*J12)*(G12*_xlfn.NORM.DIST(-L12,0,1,TRUE)-D12*_xlfn.NORM.DIST(-K12,0,1,TRUE))</f>
        <v>1694.8115954008142</v>
      </c>
      <c r="O12" s="3" t="b">
        <f>(M12-N12)=EXP(-E12*J12)*(D12-G12)</f>
        <v>1</v>
      </c>
    </row>
    <row r="13" spans="1:15" x14ac:dyDescent="0.3">
      <c r="A13" s="1">
        <v>45987</v>
      </c>
      <c r="B13" t="s">
        <v>16</v>
      </c>
      <c r="C13">
        <v>5655.58</v>
      </c>
      <c r="D13">
        <v>5657.26109</v>
      </c>
      <c r="E13" s="2">
        <v>1.9528652117192992E-2</v>
      </c>
      <c r="F13" s="1">
        <v>45989</v>
      </c>
      <c r="G13">
        <v>7917.8119999999999</v>
      </c>
      <c r="H13">
        <v>0.88614700000000002</v>
      </c>
      <c r="J13" s="3">
        <f>(F13-A13)/365</f>
        <v>5.4794520547945206E-3</v>
      </c>
      <c r="K13" s="3">
        <f>(LN(D13/G13)+H13^2*J13/2)/(H13*SQRT(J13))</f>
        <v>-5.092169818225817</v>
      </c>
      <c r="L13" s="3">
        <f>K13-H13*SQRT(J13)</f>
        <v>-5.157765362077515</v>
      </c>
      <c r="M13" s="3">
        <f>EXP(-E13*J13)*(D13*_xlfn.NORM.DIST(K13,0,1,TRUE)-G13*_xlfn.NORM.DIST(L13,0,1,TRUE))</f>
        <v>1.191423077332808E-5</v>
      </c>
      <c r="N13" s="3">
        <f>EXP(-E13*J13)*(G13*_xlfn.NORM.DIST(-L13,0,1,TRUE)-D13*_xlfn.NORM.DIST(-K13,0,1,TRUE))</f>
        <v>2260.3090416376576</v>
      </c>
      <c r="O13" s="3" t="b">
        <f>(M13-N13)=EXP(-E13*J13)*(D13-G13)</f>
        <v>1</v>
      </c>
    </row>
    <row r="14" spans="1:15" x14ac:dyDescent="0.3">
      <c r="A14" s="1">
        <v>45987</v>
      </c>
      <c r="B14" t="s">
        <v>16</v>
      </c>
      <c r="C14">
        <v>5655.58</v>
      </c>
      <c r="D14">
        <v>5657.26109</v>
      </c>
      <c r="E14" s="2">
        <v>1.9528652117192992E-2</v>
      </c>
      <c r="F14" s="1">
        <v>45989</v>
      </c>
      <c r="G14">
        <v>8483.3700000000008</v>
      </c>
      <c r="H14">
        <v>1.021512</v>
      </c>
      <c r="J14" s="3">
        <f>(F14-A14)/365</f>
        <v>5.4794520547945206E-3</v>
      </c>
      <c r="K14" s="3">
        <f>(LN(D14/G14)+H14^2*J14/2)/(H14*SQRT(J14))</f>
        <v>-5.3204424874187506</v>
      </c>
      <c r="L14" s="3">
        <f>K14-H14*SQRT(J14)</f>
        <v>-5.3960581981202882</v>
      </c>
      <c r="M14" s="3">
        <f>EXP(-E14*J14)*(D14*_xlfn.NORM.DIST(K14,0,1,TRUE)-G14*_xlfn.NORM.DIST(L14,0,1,TRUE))</f>
        <v>3.8585339920945001E-6</v>
      </c>
      <c r="N14" s="3">
        <f>EXP(-E14*J14)*(G14*_xlfn.NORM.DIST(-L14,0,1,TRUE)-D14*_xlfn.NORM.DIST(-K14,0,1,TRUE))</f>
        <v>2825.8065185434129</v>
      </c>
      <c r="O14" s="3" t="b">
        <f>(M14-N14)=EXP(-E14*J14)*(D14-G14)</f>
        <v>1</v>
      </c>
    </row>
    <row r="15" spans="1:15" x14ac:dyDescent="0.3">
      <c r="A15" s="1">
        <v>45987</v>
      </c>
      <c r="B15" t="s">
        <v>16</v>
      </c>
      <c r="C15">
        <v>5655.58</v>
      </c>
      <c r="D15">
        <v>5658.8210200000003</v>
      </c>
      <c r="E15" s="2">
        <v>1.953832563800845E-2</v>
      </c>
      <c r="F15" s="1">
        <v>45996</v>
      </c>
      <c r="G15">
        <v>2827.79</v>
      </c>
      <c r="H15">
        <v>1.0251490000000001</v>
      </c>
      <c r="J15" s="3">
        <f>(F15-A15)/365</f>
        <v>2.4657534246575342E-2</v>
      </c>
      <c r="K15" s="3">
        <f>(LN(D15/G15)+H15^2*J15/2)/(H15*SQRT(J15))</f>
        <v>4.3899441384574223</v>
      </c>
      <c r="L15" s="3">
        <f>K15-H15*SQRT(J15)</f>
        <v>4.2289678852115919</v>
      </c>
      <c r="M15" s="3">
        <f>EXP(-E15*J15)*(D15*_xlfn.NORM.DIST(K15,0,1,TRUE)-G15*_xlfn.NORM.DIST(L15,0,1,TRUE))</f>
        <v>2829.6685644493059</v>
      </c>
      <c r="N15" s="3">
        <f>EXP(-E15*J15)*(G15*_xlfn.NORM.DIST(-L15,0,1,TRUE)-D15*_xlfn.NORM.DIST(-K15,0,1,TRUE))</f>
        <v>1.1130950520713155E-3</v>
      </c>
      <c r="O15" s="3" t="b">
        <f>(M15-N15)=EXP(-E15*J15)*(D15-G15)</f>
        <v>1</v>
      </c>
    </row>
    <row r="16" spans="1:15" x14ac:dyDescent="0.3">
      <c r="A16" s="1">
        <v>45987</v>
      </c>
      <c r="B16" t="s">
        <v>16</v>
      </c>
      <c r="C16">
        <v>5655.58</v>
      </c>
      <c r="D16">
        <v>5658.8210200000003</v>
      </c>
      <c r="E16" s="2">
        <v>1.953832563800845E-2</v>
      </c>
      <c r="F16" s="1">
        <v>45996</v>
      </c>
      <c r="G16">
        <v>3393.348</v>
      </c>
      <c r="H16">
        <v>0.83465500000000004</v>
      </c>
      <c r="J16" s="3">
        <f>(F16-A16)/365</f>
        <v>2.4657534246575342E-2</v>
      </c>
      <c r="K16" s="3">
        <f>(LN(D16/G16)+H16^2*J16/2)/(H16*SQRT(J16))</f>
        <v>3.9674453687471622</v>
      </c>
      <c r="L16" s="3">
        <f>K16-H16*SQRT(J16)</f>
        <v>3.8363818505143019</v>
      </c>
      <c r="M16" s="3">
        <f>EXP(-E16*J16)*(D16*_xlfn.NORM.DIST(K16,0,1,TRUE)-G16*_xlfn.NORM.DIST(L16,0,1,TRUE))</f>
        <v>2264.3881483020018</v>
      </c>
      <c r="N16" s="3">
        <f>EXP(-E16*J16)*(G16*_xlfn.NORM.DIST(-L16,0,1,TRUE)-D16*_xlfn.NORM.DIST(-K16,0,1,TRUE))</f>
        <v>6.2954266400875782E-3</v>
      </c>
      <c r="O16" s="3" t="b">
        <f>(M16-N16)=EXP(-E16*J16)*(D16-G16)</f>
        <v>1</v>
      </c>
    </row>
    <row r="17" spans="1:15" x14ac:dyDescent="0.3">
      <c r="A17" s="1">
        <v>45987</v>
      </c>
      <c r="B17" t="s">
        <v>16</v>
      </c>
      <c r="C17">
        <v>5655.58</v>
      </c>
      <c r="D17">
        <v>5658.8210200000003</v>
      </c>
      <c r="E17" s="2">
        <v>1.953832563800845E-2</v>
      </c>
      <c r="F17" s="1">
        <v>45996</v>
      </c>
      <c r="G17">
        <v>3958.9059999999999</v>
      </c>
      <c r="H17">
        <v>0.67856000000000005</v>
      </c>
      <c r="J17" s="3">
        <f>(F17-A17)/365</f>
        <v>2.4657534246575342E-2</v>
      </c>
      <c r="K17" s="3">
        <f>(LN(D17/G17)+H17^2*J17/2)/(H17*SQRT(J17))</f>
        <v>3.4060676352850709</v>
      </c>
      <c r="L17" s="3">
        <f>K17-H17*SQRT(J17)</f>
        <v>3.2995152742112261</v>
      </c>
      <c r="M17" s="3">
        <f>EXP(-E17*J17)*(D17*_xlfn.NORM.DIST(K17,0,1,TRUE)-G17*_xlfn.NORM.DIST(L17,0,1,TRUE))</f>
        <v>1699.1486210897622</v>
      </c>
      <c r="N17" s="3">
        <f>EXP(-E17*J17)*(G17*_xlfn.NORM.DIST(-L17,0,1,TRUE)-D17*_xlfn.NORM.DIST(-K17,0,1,TRUE))</f>
        <v>5.236669329224608E-2</v>
      </c>
      <c r="O17" s="3" t="b">
        <f>(M17-N17)=EXP(-E17*J17)*(D17-G17)</f>
        <v>1</v>
      </c>
    </row>
    <row r="18" spans="1:15" x14ac:dyDescent="0.3">
      <c r="A18" s="1">
        <v>45987</v>
      </c>
      <c r="B18" t="s">
        <v>16</v>
      </c>
      <c r="C18">
        <v>5655.58</v>
      </c>
      <c r="D18">
        <v>5658.8210200000003</v>
      </c>
      <c r="E18" s="2">
        <v>1.953832563800845E-2</v>
      </c>
      <c r="F18" s="1">
        <v>45996</v>
      </c>
      <c r="G18">
        <v>4524.4639999999999</v>
      </c>
      <c r="H18">
        <v>0.52271500000000004</v>
      </c>
      <c r="J18" s="3">
        <f>(F18-A18)/365</f>
        <v>2.4657534246575342E-2</v>
      </c>
      <c r="K18" s="3">
        <f>(LN(D18/G18)+H18^2*J18/2)/(H18*SQRT(J18))</f>
        <v>2.7666152470467589</v>
      </c>
      <c r="L18" s="3">
        <f>K18-H18*SQRT(J18)</f>
        <v>2.684534786337736</v>
      </c>
      <c r="M18" s="3">
        <f>EXP(-E18*J18)*(D18*_xlfn.NORM.DIST(K18,0,1,TRUE)-G18*_xlfn.NORM.DIST(L18,0,1,TRUE))</f>
        <v>1134.2150159682519</v>
      </c>
      <c r="N18" s="3">
        <f>EXP(-E18*J18)*(G18*_xlfn.NORM.DIST(-L18,0,1,TRUE)-D18*_xlfn.NORM.DIST(-K18,0,1,TRUE))</f>
        <v>0.40436005067421427</v>
      </c>
      <c r="O18" s="3" t="b">
        <f>(M18-N18)=EXP(-E18*J18)*(D18-G18)</f>
        <v>1</v>
      </c>
    </row>
    <row r="19" spans="1:15" x14ac:dyDescent="0.3">
      <c r="A19" s="1">
        <v>45987</v>
      </c>
      <c r="B19" t="s">
        <v>16</v>
      </c>
      <c r="C19">
        <v>5655.58</v>
      </c>
      <c r="D19">
        <v>5658.8210200000003</v>
      </c>
      <c r="E19" s="2">
        <v>1.953832563800845E-2</v>
      </c>
      <c r="F19" s="1">
        <v>45996</v>
      </c>
      <c r="G19">
        <v>5090.0219999999999</v>
      </c>
      <c r="H19">
        <v>0.32372800000000002</v>
      </c>
      <c r="J19" s="3">
        <f>(F19-A19)/365</f>
        <v>2.4657534246575342E-2</v>
      </c>
      <c r="K19" s="3">
        <f>(LN(D19/G19)+H19^2*J19/2)/(H19*SQRT(J19))</f>
        <v>2.1093219485047179</v>
      </c>
      <c r="L19" s="3">
        <f>K19-H19*SQRT(J19)</f>
        <v>2.0584878546210326</v>
      </c>
      <c r="M19" s="3">
        <f>EXP(-E19*J19)*(D19*_xlfn.NORM.DIST(K19,0,1,TRUE)-G19*_xlfn.NORM.DIST(L19,0,1,TRUE))</f>
        <v>570.36840350780153</v>
      </c>
      <c r="N19" s="3">
        <f>EXP(-E19*J19)*(G19*_xlfn.NORM.DIST(-L19,0,1,TRUE)-D19*_xlfn.NORM.DIST(-K19,0,1,TRUE))</f>
        <v>1.8433460691168591</v>
      </c>
      <c r="O19" s="3" t="b">
        <f>(M19-N19)=EXP(-E19*J19)*(D19-G19)</f>
        <v>1</v>
      </c>
    </row>
    <row r="20" spans="1:15" x14ac:dyDescent="0.3">
      <c r="A20" s="1">
        <v>45987</v>
      </c>
      <c r="B20" t="s">
        <v>16</v>
      </c>
      <c r="C20">
        <v>5655.58</v>
      </c>
      <c r="D20">
        <v>5658.8210200000003</v>
      </c>
      <c r="E20" s="2">
        <v>1.953832563800845E-2</v>
      </c>
      <c r="F20" s="1">
        <v>45996</v>
      </c>
      <c r="G20">
        <v>5372.8009999999995</v>
      </c>
      <c r="H20">
        <v>0.230238</v>
      </c>
      <c r="J20" s="3">
        <f>(F20-A20)/365</f>
        <v>2.4657534246575342E-2</v>
      </c>
      <c r="K20" s="3">
        <f>(LN(D20/G20)+H20^2*J20/2)/(H20*SQRT(J20))</f>
        <v>1.4526825759300572</v>
      </c>
      <c r="L20" s="3">
        <f>K20-H20*SQRT(J20)</f>
        <v>1.4165289528032596</v>
      </c>
      <c r="M20" s="3">
        <f>EXP(-E20*J20)*(D20*_xlfn.NORM.DIST(K20,0,1,TRUE)-G20*_xlfn.NORM.DIST(L20,0,1,TRUE))</f>
        <v>292.6484594983346</v>
      </c>
      <c r="N20" s="3">
        <f>EXP(-E20*J20)*(G20*_xlfn.NORM.DIST(-L20,0,1,TRUE)-D20*_xlfn.NORM.DIST(-K20,0,1,TRUE))</f>
        <v>6.7662012990955374</v>
      </c>
      <c r="O20" s="3" t="b">
        <f>(M20-N20)=EXP(-E20*J20)*(D20-G20)</f>
        <v>1</v>
      </c>
    </row>
    <row r="21" spans="1:15" x14ac:dyDescent="0.3">
      <c r="A21" s="1">
        <v>45987</v>
      </c>
      <c r="B21" t="s">
        <v>16</v>
      </c>
      <c r="C21">
        <v>5655.58</v>
      </c>
      <c r="D21">
        <v>5658.8210200000003</v>
      </c>
      <c r="E21" s="2">
        <v>1.953832563800845E-2</v>
      </c>
      <c r="F21" s="1">
        <v>45996</v>
      </c>
      <c r="G21">
        <v>5655.58</v>
      </c>
      <c r="H21">
        <v>0.15812699999999999</v>
      </c>
      <c r="J21" s="3">
        <f>(F21-A21)/365</f>
        <v>2.4657534246575342E-2</v>
      </c>
      <c r="K21" s="3">
        <f>(LN(D21/G21)+H21^2*J21/2)/(H21*SQRT(J21))</f>
        <v>3.5487864824454367E-2</v>
      </c>
      <c r="L21" s="3">
        <f>K21-H21*SQRT(J21)</f>
        <v>1.0657628442227552E-2</v>
      </c>
      <c r="M21" s="3">
        <f>EXP(-E21*J21)*(D21*_xlfn.NORM.DIST(K21,0,1,TRUE)-G21*_xlfn.NORM.DIST(L21,0,1,TRUE))</f>
        <v>57.645479434201533</v>
      </c>
      <c r="N21" s="3">
        <f>EXP(-E21*J21)*(G21*_xlfn.NORM.DIST(-L21,0,1,TRUE)-D21*_xlfn.NORM.DIST(-K21,0,1,TRUE))</f>
        <v>54.406020474409573</v>
      </c>
      <c r="O21" s="3" t="b">
        <f>(M21-N21)=EXP(-E21*J21)*(D21-G21)</f>
        <v>0</v>
      </c>
    </row>
    <row r="22" spans="1:15" x14ac:dyDescent="0.3">
      <c r="A22" s="1">
        <v>45987</v>
      </c>
      <c r="B22" t="s">
        <v>16</v>
      </c>
      <c r="C22">
        <v>5655.58</v>
      </c>
      <c r="D22">
        <v>5658.8210200000003</v>
      </c>
      <c r="E22" s="2">
        <v>1.953832563800845E-2</v>
      </c>
      <c r="F22" s="1">
        <v>45996</v>
      </c>
      <c r="G22">
        <v>5938.3590000000004</v>
      </c>
      <c r="H22">
        <v>0.147142</v>
      </c>
      <c r="J22" s="3">
        <f>(F22-A22)/365</f>
        <v>2.4657534246575342E-2</v>
      </c>
      <c r="K22" s="3">
        <f>(LN(D22/G22)+H22^2*J22/2)/(H22*SQRT(J22))</f>
        <v>-2.0752965763640967</v>
      </c>
      <c r="L22" s="3">
        <f>K22-H22*SQRT(J22)</f>
        <v>-2.0984018692094275</v>
      </c>
      <c r="M22" s="3">
        <f>EXP(-E22*J22)*(D22*_xlfn.NORM.DIST(K22,0,1,TRUE)-G22*_xlfn.NORM.DIST(L22,0,1,TRUE))</f>
        <v>0.89786086295489209</v>
      </c>
      <c r="N22" s="3">
        <f>EXP(-E22*J22)*(G22*_xlfn.NORM.DIST(-L22,0,1,TRUE)-D22*_xlfn.NORM.DIST(-K22,0,1,TRUE))</f>
        <v>280.30120114260865</v>
      </c>
      <c r="O22" s="3" t="b">
        <f>(M22-N22)=EXP(-E22*J22)*(D22-G22)</f>
        <v>1</v>
      </c>
    </row>
    <row r="23" spans="1:15" x14ac:dyDescent="0.3">
      <c r="A23" s="1">
        <v>45987</v>
      </c>
      <c r="B23" t="s">
        <v>16</v>
      </c>
      <c r="C23">
        <v>5655.58</v>
      </c>
      <c r="D23">
        <v>5658.8210200000003</v>
      </c>
      <c r="E23" s="2">
        <v>1.953832563800845E-2</v>
      </c>
      <c r="F23" s="1">
        <v>45996</v>
      </c>
      <c r="G23">
        <v>6221.1380000000008</v>
      </c>
      <c r="H23">
        <v>0.19035099999999999</v>
      </c>
      <c r="J23" s="3">
        <f>(F23-A23)/365</f>
        <v>2.4657534246575342E-2</v>
      </c>
      <c r="K23" s="3">
        <f>(LN(D23/G23)+H23^2*J23/2)/(H23*SQRT(J23))</f>
        <v>-3.1545560372386032</v>
      </c>
      <c r="L23" s="3">
        <f>K23-H23*SQRT(J23)</f>
        <v>-3.1844463173652944</v>
      </c>
      <c r="M23" s="3">
        <f>EXP(-E23*J23)*(D23*_xlfn.NORM.DIST(K23,0,1,TRUE)-G23*_xlfn.NORM.DIST(L23,0,1,TRUE))</f>
        <v>3.6751830609787761E-2</v>
      </c>
      <c r="N23" s="3">
        <f>EXP(-E23*J23)*(G23*_xlfn.NORM.DIST(-L23,0,1,TRUE)-D23*_xlfn.NORM.DIST(-K23,0,1,TRUE))</f>
        <v>562.08289134971062</v>
      </c>
      <c r="O23" s="3" t="b">
        <f>(M23-N23)=EXP(-E23*J23)*(D23-G23)</f>
        <v>1</v>
      </c>
    </row>
    <row r="24" spans="1:15" x14ac:dyDescent="0.3">
      <c r="A24" s="1">
        <v>45987</v>
      </c>
      <c r="B24" t="s">
        <v>16</v>
      </c>
      <c r="C24">
        <v>5655.58</v>
      </c>
      <c r="D24">
        <v>5658.8210200000003</v>
      </c>
      <c r="E24" s="2">
        <v>1.953832563800845E-2</v>
      </c>
      <c r="F24" s="1">
        <v>45996</v>
      </c>
      <c r="G24">
        <v>6786.6959999999999</v>
      </c>
      <c r="H24">
        <v>0.28250700000000001</v>
      </c>
      <c r="J24" s="3">
        <f>(F24-A24)/365</f>
        <v>2.4657534246575342E-2</v>
      </c>
      <c r="K24" s="3">
        <f>(LN(D24/G24)+H24^2*J24/2)/(H24*SQRT(J24))</f>
        <v>-4.0748307384754474</v>
      </c>
      <c r="L24" s="3">
        <f>K24-H24*SQRT(J24)</f>
        <v>-4.1191920151052051</v>
      </c>
      <c r="M24" s="3">
        <f>EXP(-E24*J24)*(D24*_xlfn.NORM.DIST(K24,0,1,TRUE)-G24*_xlfn.NORM.DIST(L24,0,1,TRUE))</f>
        <v>1.2714062435369795E-3</v>
      </c>
      <c r="N24" s="3">
        <f>EXP(-E24*J24)*(G24*_xlfn.NORM.DIST(-L24,0,1,TRUE)-D24*_xlfn.NORM.DIST(-K24,0,1,TRUE))</f>
        <v>1127.3330094042369</v>
      </c>
      <c r="O24" s="3" t="b">
        <f>(M24-N24)=EXP(-E24*J24)*(D24-G24)</f>
        <v>1</v>
      </c>
    </row>
    <row r="25" spans="1:15" x14ac:dyDescent="0.3">
      <c r="A25" s="1">
        <v>45987</v>
      </c>
      <c r="B25" t="s">
        <v>16</v>
      </c>
      <c r="C25">
        <v>5655.58</v>
      </c>
      <c r="D25">
        <v>5658.8210200000003</v>
      </c>
      <c r="E25" s="2">
        <v>1.953832563800845E-2</v>
      </c>
      <c r="F25" s="1">
        <v>45996</v>
      </c>
      <c r="G25">
        <v>7352.2539999999999</v>
      </c>
      <c r="H25">
        <v>0.36301800000000001</v>
      </c>
      <c r="J25" s="3">
        <f>(F25-A25)/365</f>
        <v>2.4657534246575342E-2</v>
      </c>
      <c r="K25" s="3">
        <f>(LN(D25/G25)+H25^2*J25/2)/(H25*SQRT(J25))</f>
        <v>-4.5640316391852549</v>
      </c>
      <c r="L25" s="3">
        <f>K25-H25*SQRT(J25)</f>
        <v>-4.6210353308445109</v>
      </c>
      <c r="M25" s="3">
        <f>EXP(-E25*J25)*(D25*_xlfn.NORM.DIST(K25,0,1,TRUE)-G25*_xlfn.NORM.DIST(L25,0,1,TRUE))</f>
        <v>1.6150275466186937E-4</v>
      </c>
      <c r="N25" s="3">
        <f>EXP(-E25*J25)*(G25*_xlfn.NORM.DIST(-L25,0,1,TRUE)-D25*_xlfn.NORM.DIST(-K25,0,1,TRUE))</f>
        <v>1692.617497979639</v>
      </c>
      <c r="O25" s="3" t="b">
        <f>(M25-N25)=EXP(-E25*J25)*(D25-G25)</f>
        <v>1</v>
      </c>
    </row>
    <row r="26" spans="1:15" x14ac:dyDescent="0.3">
      <c r="A26" s="1">
        <v>45987</v>
      </c>
      <c r="B26" t="s">
        <v>16</v>
      </c>
      <c r="C26">
        <v>5655.58</v>
      </c>
      <c r="D26">
        <v>5658.8210200000003</v>
      </c>
      <c r="E26" s="2">
        <v>1.953832563800845E-2</v>
      </c>
      <c r="F26" s="1">
        <v>45996</v>
      </c>
      <c r="G26">
        <v>7917.8119999999999</v>
      </c>
      <c r="H26">
        <v>0.43380400000000002</v>
      </c>
      <c r="J26" s="3">
        <f>(F26-A26)/365</f>
        <v>2.4657534246575342E-2</v>
      </c>
      <c r="K26" s="3">
        <f>(LN(D26/G26)+H26^2*J26/2)/(H26*SQRT(J26))</f>
        <v>-4.8970059663452092</v>
      </c>
      <c r="L26" s="3">
        <f>K26-H26*SQRT(J26)</f>
        <v>-4.9651249837398064</v>
      </c>
      <c r="M26" s="3">
        <f>EXP(-E26*J26)*(D26*_xlfn.NORM.DIST(K26,0,1,TRUE)-G26*_xlfn.NORM.DIST(L26,0,1,TRUE))</f>
        <v>3.5162806123132588E-5</v>
      </c>
      <c r="N26" s="3">
        <f>EXP(-E26*J26)*(G26*_xlfn.NORM.DIST(-L26,0,1,TRUE)-D26*_xlfn.NORM.DIST(-K26,0,1,TRUE))</f>
        <v>2257.9029701185827</v>
      </c>
      <c r="O26" s="3" t="b">
        <f>(M26-N26)=EXP(-E26*J26)*(D26-G26)</f>
        <v>1</v>
      </c>
    </row>
    <row r="27" spans="1:15" x14ac:dyDescent="0.3">
      <c r="A27" s="1">
        <v>45987</v>
      </c>
      <c r="B27" t="s">
        <v>16</v>
      </c>
      <c r="C27">
        <v>5655.58</v>
      </c>
      <c r="D27">
        <v>5658.8210200000003</v>
      </c>
      <c r="E27" s="2">
        <v>1.953832563800845E-2</v>
      </c>
      <c r="F27" s="1">
        <v>45996</v>
      </c>
      <c r="G27">
        <v>8483.3700000000008</v>
      </c>
      <c r="H27">
        <v>0.49746600000000002</v>
      </c>
      <c r="J27" s="3">
        <f>(F27-A27)/365</f>
        <v>2.4657534246575342E-2</v>
      </c>
      <c r="K27" s="3">
        <f>(LN(D27/G27)+H27^2*J27/2)/(H27*SQRT(J27))</f>
        <v>-5.1441806391876979</v>
      </c>
      <c r="L27" s="3">
        <f>K27-H27*SQRT(J27)</f>
        <v>-5.2222963207102771</v>
      </c>
      <c r="M27" s="3">
        <f>EXP(-E27*J27)*(D27*_xlfn.NORM.DIST(K27,0,1,TRUE)-G27*_xlfn.NORM.DIST(L27,0,1,TRUE))</f>
        <v>1.0650138325762558E-5</v>
      </c>
      <c r="N27" s="3">
        <f>EXP(-E27*J27)*(G27*_xlfn.NORM.DIST(-L27,0,1,TRUE)-D27*_xlfn.NORM.DIST(-K27,0,1,TRUE))</f>
        <v>2823.1885440848091</v>
      </c>
      <c r="O27" s="3" t="b">
        <f>(M27-N27)=EXP(-E27*J27)*(D27-G27)</f>
        <v>1</v>
      </c>
    </row>
    <row r="28" spans="1:15" x14ac:dyDescent="0.3">
      <c r="A28" s="1">
        <v>45987</v>
      </c>
      <c r="B28" t="s">
        <v>16</v>
      </c>
      <c r="C28">
        <v>5655.58</v>
      </c>
      <c r="D28">
        <v>5661.81808</v>
      </c>
      <c r="E28" s="2">
        <v>1.9547779667534921E-2</v>
      </c>
      <c r="F28" s="1">
        <v>46003</v>
      </c>
      <c r="G28">
        <v>2827.79</v>
      </c>
      <c r="H28">
        <v>0.85670500000000005</v>
      </c>
      <c r="J28" s="3">
        <f>(F28-A28)/365</f>
        <v>4.3835616438356165E-2</v>
      </c>
      <c r="K28" s="3">
        <f>(LN(D28/G28)+H28^2*J28/2)/(H28*SQRT(J28))</f>
        <v>3.960216827853134</v>
      </c>
      <c r="L28" s="3">
        <f>K28-H28*SQRT(J28)</f>
        <v>3.7808488712120742</v>
      </c>
      <c r="M28" s="3">
        <f>EXP(-E28*J28)*(D28*_xlfn.NORM.DIST(K28,0,1,TRUE)-G28*_xlfn.NORM.DIST(L28,0,1,TRUE))</f>
        <v>2831.6096657043336</v>
      </c>
      <c r="N28" s="3">
        <f>EXP(-E28*J28)*(G28*_xlfn.NORM.DIST(-L28,0,1,TRUE)-D28*_xlfn.NORM.DIST(-K28,0,1,TRUE))</f>
        <v>8.9929538721921932E-3</v>
      </c>
      <c r="O28" s="3" t="b">
        <f>(M28-N28)=EXP(-E28*J28)*(D28-G28)</f>
        <v>1</v>
      </c>
    </row>
    <row r="29" spans="1:15" x14ac:dyDescent="0.3">
      <c r="A29" s="1">
        <v>45987</v>
      </c>
      <c r="B29" t="s">
        <v>16</v>
      </c>
      <c r="C29">
        <v>5655.58</v>
      </c>
      <c r="D29">
        <v>5661.81808</v>
      </c>
      <c r="E29" s="2">
        <v>1.9547779667534921E-2</v>
      </c>
      <c r="F29" s="1">
        <v>46003</v>
      </c>
      <c r="G29">
        <v>3393.348</v>
      </c>
      <c r="H29">
        <v>0.70173099999999999</v>
      </c>
      <c r="J29" s="3">
        <f>(F29-A29)/365</f>
        <v>4.3835616438356165E-2</v>
      </c>
      <c r="K29" s="3">
        <f>(LN(D29/G29)+H29^2*J29/2)/(H29*SQRT(J29))</f>
        <v>3.5578338182730005</v>
      </c>
      <c r="L29" s="3">
        <f>K29-H29*SQRT(J29)</f>
        <v>3.4109127012237392</v>
      </c>
      <c r="M29" s="3">
        <f>EXP(-E29*J29)*(D29*_xlfn.NORM.DIST(K29,0,1,TRUE)-G29*_xlfn.NORM.DIST(L29,0,1,TRUE))</f>
        <v>2266.5670270336818</v>
      </c>
      <c r="N29" s="3">
        <f>EXP(-E29*J29)*(G29*_xlfn.NORM.DIST(-L29,0,1,TRUE)-D29*_xlfn.NORM.DIST(-K29,0,1,TRUE))</f>
        <v>3.9941443797721611E-2</v>
      </c>
      <c r="O29" s="3" t="b">
        <f>(M29-N29)=EXP(-E29*J29)*(D29-G29)</f>
        <v>1</v>
      </c>
    </row>
    <row r="30" spans="1:15" x14ac:dyDescent="0.3">
      <c r="A30" s="1">
        <v>45987</v>
      </c>
      <c r="B30" t="s">
        <v>16</v>
      </c>
      <c r="C30">
        <v>5655.58</v>
      </c>
      <c r="D30">
        <v>5661.81808</v>
      </c>
      <c r="E30" s="2">
        <v>1.9547779667534921E-2</v>
      </c>
      <c r="F30" s="1">
        <v>46003</v>
      </c>
      <c r="G30">
        <v>3958.9059999999999</v>
      </c>
      <c r="H30">
        <v>0.57217600000000002</v>
      </c>
      <c r="J30" s="3">
        <f>(F30-A30)/365</f>
        <v>4.3835616438356165E-2</v>
      </c>
      <c r="K30" s="3">
        <f>(LN(D30/G30)+H30^2*J30/2)/(H30*SQRT(J30))</f>
        <v>3.04644698245973</v>
      </c>
      <c r="L30" s="3">
        <f>K30-H30*SQRT(J30)</f>
        <v>2.9266507399269388</v>
      </c>
      <c r="M30" s="3">
        <f>EXP(-E30*J30)*(D30*_xlfn.NORM.DIST(K30,0,1,TRUE)-G30*_xlfn.NORM.DIST(L30,0,1,TRUE))</f>
        <v>1701.6802248002423</v>
      </c>
      <c r="N30" s="3">
        <f>EXP(-E30*J30)*(G30*_xlfn.NORM.DIST(-L30,0,1,TRUE)-D30*_xlfn.NORM.DIST(-K30,0,1,TRUE))</f>
        <v>0.22672637093624479</v>
      </c>
      <c r="O30" s="3" t="b">
        <f>(M30-N30)=EXP(-E30*J30)*(D30-G30)</f>
        <v>1</v>
      </c>
    </row>
    <row r="31" spans="1:15" x14ac:dyDescent="0.3">
      <c r="A31" s="1">
        <v>45987</v>
      </c>
      <c r="B31" t="s">
        <v>16</v>
      </c>
      <c r="C31">
        <v>5655.58</v>
      </c>
      <c r="D31">
        <v>5661.81808</v>
      </c>
      <c r="E31" s="2">
        <v>1.9547779667534921E-2</v>
      </c>
      <c r="F31" s="1">
        <v>46003</v>
      </c>
      <c r="G31">
        <v>4524.4639999999999</v>
      </c>
      <c r="H31">
        <v>0.446826</v>
      </c>
      <c r="J31" s="3">
        <f>(F31-A31)/365</f>
        <v>4.3835616438356165E-2</v>
      </c>
      <c r="K31" s="3">
        <f>(LN(D31/G31)+H31^2*J31/2)/(H31*SQRT(J31))</f>
        <v>2.443801040275873</v>
      </c>
      <c r="L31" s="3">
        <f>K31-H31*SQRT(J31)</f>
        <v>2.3502492732217553</v>
      </c>
      <c r="M31" s="3">
        <f>EXP(-E31*J31)*(D31*_xlfn.NORM.DIST(K31,0,1,TRUE)-G31*_xlfn.NORM.DIST(L31,0,1,TRUE))</f>
        <v>1137.6773332586936</v>
      </c>
      <c r="N31" s="3">
        <f>EXP(-E31*J31)*(G31*_xlfn.NORM.DIST(-L31,0,1,TRUE)-D31*_xlfn.NORM.DIST(-K31,0,1,TRUE))</f>
        <v>1.2974219899649468</v>
      </c>
      <c r="O31" s="3" t="b">
        <f>(M31-N31)=EXP(-E31*J31)*(D31-G31)</f>
        <v>1</v>
      </c>
    </row>
    <row r="32" spans="1:15" x14ac:dyDescent="0.3">
      <c r="A32" s="1">
        <v>45987</v>
      </c>
      <c r="B32" t="s">
        <v>16</v>
      </c>
      <c r="C32">
        <v>5655.58</v>
      </c>
      <c r="D32">
        <v>5661.81808</v>
      </c>
      <c r="E32" s="2">
        <v>1.9547779667534921E-2</v>
      </c>
      <c r="F32" s="1">
        <v>46003</v>
      </c>
      <c r="G32">
        <v>5090.0219999999999</v>
      </c>
      <c r="H32">
        <v>0.29066599999999998</v>
      </c>
      <c r="J32" s="3">
        <f>(F32-A32)/365</f>
        <v>4.3835616438356165E-2</v>
      </c>
      <c r="K32" s="3">
        <f>(LN(D32/G32)+H32^2*J32/2)/(H32*SQRT(J32))</f>
        <v>1.7798339089597164</v>
      </c>
      <c r="L32" s="3">
        <f>K32-H32*SQRT(J32)</f>
        <v>1.7189772938062735</v>
      </c>
      <c r="M32" s="3">
        <f>EXP(-E32*J32)*(D32*_xlfn.NORM.DIST(K32,0,1,TRUE)-G32*_xlfn.NORM.DIST(L32,0,1,TRUE))</f>
        <v>576.59165790094914</v>
      </c>
      <c r="N32" s="3">
        <f>EXP(-E32*J32)*(G32*_xlfn.NORM.DIST(-L32,0,1,TRUE)-D32*_xlfn.NORM.DIST(-K32,0,1,TRUE))</f>
        <v>5.2853337928000963</v>
      </c>
      <c r="O32" s="3" t="b">
        <f>(M32-N32)=EXP(-E32*J32)*(D32-G32)</f>
        <v>0</v>
      </c>
    </row>
    <row r="33" spans="1:15" x14ac:dyDescent="0.3">
      <c r="A33" s="1">
        <v>45987</v>
      </c>
      <c r="B33" t="s">
        <v>16</v>
      </c>
      <c r="C33">
        <v>5655.58</v>
      </c>
      <c r="D33">
        <v>5661.81808</v>
      </c>
      <c r="E33" s="2">
        <v>1.9547779667534921E-2</v>
      </c>
      <c r="F33" s="1">
        <v>46003</v>
      </c>
      <c r="G33">
        <v>5372.8009999999995</v>
      </c>
      <c r="H33">
        <v>0.21562400000000001</v>
      </c>
      <c r="J33" s="3">
        <f>(F33-A33)/365</f>
        <v>4.3835616438356165E-2</v>
      </c>
      <c r="K33" s="3">
        <f>(LN(D33/G33)+H33^2*J33/2)/(H33*SQRT(J33))</f>
        <v>1.1831786326261871</v>
      </c>
      <c r="L33" s="3">
        <f>K33-H33*SQRT(J33)</f>
        <v>1.1380335286723502</v>
      </c>
      <c r="M33" s="3">
        <f>EXP(-E33*J33)*(D33*_xlfn.NORM.DIST(K33,0,1,TRUE)-G33*_xlfn.NORM.DIST(L33,0,1,TRUE))</f>
        <v>303.8899879782814</v>
      </c>
      <c r="N33" s="3">
        <f>EXP(-E33*J33)*(G33*_xlfn.NORM.DIST(-L33,0,1,TRUE)-D33*_xlfn.NORM.DIST(-K33,0,1,TRUE))</f>
        <v>15.120457450420131</v>
      </c>
      <c r="O33" s="3" t="b">
        <f>(M33-N33)=EXP(-E33*J33)*(D33-G33)</f>
        <v>1</v>
      </c>
    </row>
    <row r="34" spans="1:15" x14ac:dyDescent="0.3">
      <c r="A34" s="1">
        <v>45987</v>
      </c>
      <c r="B34" t="s">
        <v>16</v>
      </c>
      <c r="C34">
        <v>5655.58</v>
      </c>
      <c r="D34">
        <v>5661.81808</v>
      </c>
      <c r="E34" s="2">
        <v>1.9547779667534921E-2</v>
      </c>
      <c r="F34" s="1">
        <v>46003</v>
      </c>
      <c r="G34">
        <v>5655.58</v>
      </c>
      <c r="H34">
        <v>0.158996</v>
      </c>
      <c r="J34" s="3">
        <f>(F34-A34)/365</f>
        <v>4.3835616438356165E-2</v>
      </c>
      <c r="K34" s="3">
        <f>(LN(D34/G34)+H34^2*J34/2)/(H34*SQRT(J34))</f>
        <v>4.9760214640162198E-2</v>
      </c>
      <c r="L34" s="3">
        <f>K34-H34*SQRT(J34)</f>
        <v>1.6471290641700755E-2</v>
      </c>
      <c r="M34" s="3">
        <f>EXP(-E34*J34)*(D34*_xlfn.NORM.DIST(K34,0,1,TRUE)-G34*_xlfn.NORM.DIST(L34,0,1,TRUE))</f>
        <v>78.239252346433261</v>
      </c>
      <c r="N34" s="3">
        <f>EXP(-E34*J34)*(G34*_xlfn.NORM.DIST(-L34,0,1,TRUE)-D34*_xlfn.NORM.DIST(-K34,0,1,TRUE))</f>
        <v>72.006515398862106</v>
      </c>
      <c r="O34" s="3" t="b">
        <f>(M34-N34)=EXP(-E34*J34)*(D34-G34)</f>
        <v>0</v>
      </c>
    </row>
    <row r="35" spans="1:15" x14ac:dyDescent="0.3">
      <c r="A35" s="1">
        <v>45987</v>
      </c>
      <c r="B35" t="s">
        <v>16</v>
      </c>
      <c r="C35">
        <v>5655.58</v>
      </c>
      <c r="D35">
        <v>5661.81808</v>
      </c>
      <c r="E35" s="2">
        <v>1.9547779667534921E-2</v>
      </c>
      <c r="F35" s="1">
        <v>46003</v>
      </c>
      <c r="G35">
        <v>5938.3590000000004</v>
      </c>
      <c r="H35">
        <v>0.137957</v>
      </c>
      <c r="J35" s="3">
        <f>(F35-A35)/365</f>
        <v>4.3835616438356165E-2</v>
      </c>
      <c r="K35" s="3">
        <f>(LN(D35/G35)+H35^2*J35/2)/(H35*SQRT(J35))</f>
        <v>-1.6365682594709701</v>
      </c>
      <c r="L35" s="3">
        <f>K35-H35*SQRT(J35)</f>
        <v>-1.6654522571064814</v>
      </c>
      <c r="M35" s="3">
        <f>EXP(-E35*J35)*(D35*_xlfn.NORM.DIST(K35,0,1,TRUE)-G35*_xlfn.NORM.DIST(L35,0,1,TRUE))</f>
        <v>3.4447465972543263</v>
      </c>
      <c r="N35" s="3">
        <f>EXP(-E35*J35)*(G35*_xlfn.NORM.DIST(-L35,0,1,TRUE)-D35*_xlfn.NORM.DIST(-K35,0,1,TRUE))</f>
        <v>279.74880322997194</v>
      </c>
      <c r="O35" s="3" t="b">
        <f>(M35-N35)=EXP(-E35*J35)*(D35-G35)</f>
        <v>1</v>
      </c>
    </row>
    <row r="36" spans="1:15" x14ac:dyDescent="0.3">
      <c r="A36" s="1">
        <v>45987</v>
      </c>
      <c r="B36" t="s">
        <v>16</v>
      </c>
      <c r="C36">
        <v>5655.58</v>
      </c>
      <c r="D36">
        <v>5661.81808</v>
      </c>
      <c r="E36" s="2">
        <v>1.9547779667534921E-2</v>
      </c>
      <c r="F36" s="1">
        <v>46003</v>
      </c>
      <c r="G36">
        <v>6221.1380000000008</v>
      </c>
      <c r="H36">
        <v>0.16284299999999999</v>
      </c>
      <c r="J36" s="3">
        <f>(F36-A36)/365</f>
        <v>4.3835616438356165E-2</v>
      </c>
      <c r="K36" s="3">
        <f>(LN(D36/G36)+H36^2*J36/2)/(H36*SQRT(J36))</f>
        <v>-2.7461009699841488</v>
      </c>
      <c r="L36" s="3">
        <f>K36-H36*SQRT(J36)</f>
        <v>-2.7801953387146918</v>
      </c>
      <c r="M36" s="3">
        <f>EXP(-E36*J36)*(D36*_xlfn.NORM.DIST(K36,0,1,TRUE)-G36*_xlfn.NORM.DIST(L36,0,1,TRUE))</f>
        <v>0.17401148594165555</v>
      </c>
      <c r="N36" s="3">
        <f>EXP(-E36*J36)*(G36*_xlfn.NORM.DIST(-L36,0,1,TRUE)-D36*_xlfn.NORM.DIST(-K36,0,1,TRUE))</f>
        <v>559.01486169894929</v>
      </c>
      <c r="O36" s="3" t="b">
        <f>(M36-N36)=EXP(-E36*J36)*(D36-G36)</f>
        <v>0</v>
      </c>
    </row>
    <row r="37" spans="1:15" x14ac:dyDescent="0.3">
      <c r="A37" s="1">
        <v>45987</v>
      </c>
      <c r="B37" t="s">
        <v>16</v>
      </c>
      <c r="C37">
        <v>5655.58</v>
      </c>
      <c r="D37">
        <v>5661.81808</v>
      </c>
      <c r="E37" s="2">
        <v>1.9547779667534921E-2</v>
      </c>
      <c r="F37" s="1">
        <v>46003</v>
      </c>
      <c r="G37">
        <v>6786.6959999999999</v>
      </c>
      <c r="H37">
        <v>0.232297</v>
      </c>
      <c r="J37" s="3">
        <f>(F37-A37)/365</f>
        <v>4.3835616438356165E-2</v>
      </c>
      <c r="K37" s="3">
        <f>(LN(D37/G37)+H37^2*J37/2)/(H37*SQRT(J37))</f>
        <v>-3.7017174188156758</v>
      </c>
      <c r="L37" s="3">
        <f>K37-H37*SQRT(J37)</f>
        <v>-3.7503533415940513</v>
      </c>
      <c r="M37" s="3">
        <f>EXP(-E37*J37)*(D37*_xlfn.NORM.DIST(K37,0,1,TRUE)-G37*_xlfn.NORM.DIST(L37,0,1,TRUE))</f>
        <v>7.002869425565556E-3</v>
      </c>
      <c r="N37" s="3">
        <f>EXP(-E37*J37)*(G37*_xlfn.NORM.DIST(-L37,0,1,TRUE)-D37*_xlfn.NORM.DIST(-K37,0,1,TRUE))</f>
        <v>1123.92144024301</v>
      </c>
      <c r="O37" s="3" t="b">
        <f>(M37-N37)=EXP(-E37*J37)*(D37-G37)</f>
        <v>1</v>
      </c>
    </row>
    <row r="38" spans="1:15" x14ac:dyDescent="0.3">
      <c r="A38" s="1">
        <v>45987</v>
      </c>
      <c r="B38" t="s">
        <v>16</v>
      </c>
      <c r="C38">
        <v>5655.58</v>
      </c>
      <c r="D38">
        <v>5661.81808</v>
      </c>
      <c r="E38" s="2">
        <v>1.9547779667534921E-2</v>
      </c>
      <c r="F38" s="1">
        <v>46003</v>
      </c>
      <c r="G38">
        <v>7352.2539999999999</v>
      </c>
      <c r="H38">
        <v>0.29472300000000001</v>
      </c>
      <c r="J38" s="3">
        <f>(F38-A38)/365</f>
        <v>4.3835616438356165E-2</v>
      </c>
      <c r="K38" s="3">
        <f>(LN(D38/G38)+H38^2*J38/2)/(H38*SQRT(J38))</f>
        <v>-4.2031235895227477</v>
      </c>
      <c r="L38" s="3">
        <f>K38-H38*SQRT(J38)</f>
        <v>-4.26482961701777</v>
      </c>
      <c r="M38" s="3">
        <f>EXP(-E38*J38)*(D38*_xlfn.NORM.DIST(K38,0,1,TRUE)-G38*_xlfn.NORM.DIST(L38,0,1,TRUE))</f>
        <v>9.8206373241009745E-4</v>
      </c>
      <c r="N38" s="3">
        <f>EXP(-E38*J38)*(G38*_xlfn.NORM.DIST(-L38,0,1,TRUE)-D38*_xlfn.NORM.DIST(-K38,0,1,TRUE))</f>
        <v>1688.9890065978948</v>
      </c>
      <c r="O38" s="3" t="b">
        <f>(M38-N38)=EXP(-E38*J38)*(D38-G38)</f>
        <v>1</v>
      </c>
    </row>
    <row r="39" spans="1:15" x14ac:dyDescent="0.3">
      <c r="A39" s="1">
        <v>45987</v>
      </c>
      <c r="B39" t="s">
        <v>16</v>
      </c>
      <c r="C39">
        <v>5655.58</v>
      </c>
      <c r="D39">
        <v>5661.81808</v>
      </c>
      <c r="E39" s="2">
        <v>1.9547779667534921E-2</v>
      </c>
      <c r="F39" s="1">
        <v>46003</v>
      </c>
      <c r="G39">
        <v>7917.8119999999999</v>
      </c>
      <c r="H39">
        <v>0.35009099999999999</v>
      </c>
      <c r="J39" s="3">
        <f>(F39-A39)/365</f>
        <v>4.3835616438356165E-2</v>
      </c>
      <c r="K39" s="3">
        <f>(LN(D39/G39)+H39^2*J39/2)/(H39*SQRT(J39))</f>
        <v>-4.538755455177788</v>
      </c>
      <c r="L39" s="3">
        <f>K39-H39*SQRT(J39)</f>
        <v>-4.6120538569712002</v>
      </c>
      <c r="M39" s="3">
        <f>EXP(-E39*J39)*(D39*_xlfn.NORM.DIST(K39,0,1,TRUE)-G39*_xlfn.NORM.DIST(L39,0,1,TRUE))</f>
        <v>2.3458425893516026E-4</v>
      </c>
      <c r="N39" s="3">
        <f>EXP(-E39*J39)*(G39*_xlfn.NORM.DIST(-L39,0,1,TRUE)-D39*_xlfn.NORM.DIST(-K39,0,1,TRUE))</f>
        <v>2254.0618462789994</v>
      </c>
      <c r="O39" s="3" t="b">
        <f>(M39-N39)=EXP(-E39*J39)*(D39-G39)</f>
        <v>1</v>
      </c>
    </row>
    <row r="40" spans="1:15" x14ac:dyDescent="0.3">
      <c r="A40" s="1">
        <v>45987</v>
      </c>
      <c r="B40" t="s">
        <v>16</v>
      </c>
      <c r="C40">
        <v>5655.58</v>
      </c>
      <c r="D40">
        <v>5661.81808</v>
      </c>
      <c r="E40" s="2">
        <v>1.9547779667534921E-2</v>
      </c>
      <c r="F40" s="1">
        <v>46003</v>
      </c>
      <c r="G40">
        <v>8483.3700000000008</v>
      </c>
      <c r="H40">
        <v>0.40000799999999997</v>
      </c>
      <c r="J40" s="3">
        <f>(F40-A40)/365</f>
        <v>4.3835616438356165E-2</v>
      </c>
      <c r="K40" s="3">
        <f>(LN(D40/G40)+H40^2*J40/2)/(H40*SQRT(J40))</f>
        <v>-4.7863655119042381</v>
      </c>
      <c r="L40" s="3">
        <f>K40-H40*SQRT(J40)</f>
        <v>-4.8701150144752248</v>
      </c>
      <c r="M40" s="3">
        <f>EXP(-E40*J40)*(D40*_xlfn.NORM.DIST(K40,0,1,TRUE)-G40*_xlfn.NORM.DIST(L40,0,1,TRUE))</f>
        <v>7.6737140163041391E-5</v>
      </c>
      <c r="N40" s="3">
        <f>EXP(-E40*J40)*(G40*_xlfn.NORM.DIST(-L40,0,1,TRUE)-D40*_xlfn.NORM.DIST(-K40,0,1,TRUE))</f>
        <v>2819.1352755924599</v>
      </c>
      <c r="O40" s="3" t="b">
        <f>(M40-N40)=EXP(-E40*J40)*(D40-G40)</f>
        <v>1</v>
      </c>
    </row>
    <row r="41" spans="1:15" x14ac:dyDescent="0.3">
      <c r="A41" s="1">
        <v>45987</v>
      </c>
      <c r="B41" t="s">
        <v>16</v>
      </c>
      <c r="C41">
        <v>5655.58</v>
      </c>
      <c r="D41">
        <v>5664.1144899999999</v>
      </c>
      <c r="E41" s="2">
        <v>1.9558250634843764E-2</v>
      </c>
      <c r="F41" s="1">
        <v>46010</v>
      </c>
      <c r="G41">
        <v>2827.79</v>
      </c>
      <c r="H41">
        <v>0.85105200000000003</v>
      </c>
      <c r="J41" s="3">
        <f>(F41-A41)/365</f>
        <v>6.3013698630136991E-2</v>
      </c>
      <c r="K41" s="3">
        <f>(LN(D41/G41)+H41^2*J41/2)/(H41*SQRT(J41))</f>
        <v>3.3584067084225606</v>
      </c>
      <c r="L41" s="3">
        <f>K41-H41*SQRT(J41)</f>
        <v>3.1447711292312275</v>
      </c>
      <c r="M41" s="3">
        <f>EXP(-E41*J41)*(D41*_xlfn.NORM.DIST(K41,0,1,TRUE)-G41*_xlfn.NORM.DIST(L41,0,1,TRUE))</f>
        <v>2832.9608812948004</v>
      </c>
      <c r="N41" s="3">
        <f>EXP(-E41*J41)*(G41*_xlfn.NORM.DIST(-L41,0,1,TRUE)-D41*_xlfn.NORM.DIST(-K41,0,1,TRUE))</f>
        <v>0.12983139173848743</v>
      </c>
      <c r="O41" s="3" t="b">
        <f>(M41-N41)=EXP(-E41*J41)*(D41-G41)</f>
        <v>1</v>
      </c>
    </row>
    <row r="42" spans="1:15" x14ac:dyDescent="0.3">
      <c r="A42" s="1">
        <v>45987</v>
      </c>
      <c r="B42" t="s">
        <v>16</v>
      </c>
      <c r="C42">
        <v>5655.58</v>
      </c>
      <c r="D42">
        <v>5664.1144899999999</v>
      </c>
      <c r="E42" s="2">
        <v>1.9558250634843764E-2</v>
      </c>
      <c r="F42" s="1">
        <v>46010</v>
      </c>
      <c r="G42">
        <v>3393.348</v>
      </c>
      <c r="H42">
        <v>0.68939700000000004</v>
      </c>
      <c r="J42" s="3">
        <f>(F42-A42)/365</f>
        <v>6.3013698630136991E-2</v>
      </c>
      <c r="K42" s="3">
        <f>(LN(D42/G42)+H42^2*J42/2)/(H42*SQRT(J42))</f>
        <v>3.0470337346939975</v>
      </c>
      <c r="L42" s="3">
        <f>K42-H42*SQRT(J42)</f>
        <v>2.8739776495337868</v>
      </c>
      <c r="M42" s="3">
        <f>EXP(-E42*J42)*(D42*_xlfn.NORM.DIST(K42,0,1,TRUE)-G42*_xlfn.NORM.DIST(L42,0,1,TRUE))</f>
        <v>2268.3012674188931</v>
      </c>
      <c r="N42" s="3">
        <f>EXP(-E42*J42)*(G42*_xlfn.NORM.DIST(-L42,0,1,TRUE)-D42*_xlfn.NORM.DIST(-K42,0,1,TRUE))</f>
        <v>0.33163184613484037</v>
      </c>
      <c r="O42" s="3" t="b">
        <f>(M42-N42)=EXP(-E42*J42)*(D42-G42)</f>
        <v>1</v>
      </c>
    </row>
    <row r="43" spans="1:15" x14ac:dyDescent="0.3">
      <c r="A43" s="1">
        <v>45987</v>
      </c>
      <c r="B43" t="s">
        <v>16</v>
      </c>
      <c r="C43">
        <v>5655.58</v>
      </c>
      <c r="D43">
        <v>5664.1144899999999</v>
      </c>
      <c r="E43" s="2">
        <v>1.9558250634843764E-2</v>
      </c>
      <c r="F43" s="1">
        <v>46010</v>
      </c>
      <c r="G43">
        <v>3958.9059999999999</v>
      </c>
      <c r="H43">
        <v>0.55177299999999996</v>
      </c>
      <c r="J43" s="3">
        <f>(F43-A43)/365</f>
        <v>6.3013698630136991E-2</v>
      </c>
      <c r="K43" s="3">
        <f>(LN(D43/G43)+H43^2*J43/2)/(H43*SQRT(J43))</f>
        <v>2.6552445490816061</v>
      </c>
      <c r="L43" s="3">
        <f>K43-H43*SQRT(J43)</f>
        <v>2.5167355690931452</v>
      </c>
      <c r="M43" s="3">
        <f>EXP(-E43*J43)*(D43*_xlfn.NORM.DIST(K43,0,1,TRUE)-G43*_xlfn.NORM.DIST(L43,0,1,TRUE))</f>
        <v>1704.1088329767801</v>
      </c>
      <c r="N43" s="3">
        <f>EXP(-E43*J43)*(G43*_xlfn.NORM.DIST(-L43,0,1,TRUE)-D43*_xlfn.NORM.DIST(-K43,0,1,TRUE))</f>
        <v>1.0006117343248706</v>
      </c>
      <c r="O43" s="3" t="b">
        <f>(M43-N43)=EXP(-E43*J43)*(D43-G43)</f>
        <v>1</v>
      </c>
    </row>
    <row r="44" spans="1:15" x14ac:dyDescent="0.3">
      <c r="A44" s="1">
        <v>45987</v>
      </c>
      <c r="B44" t="s">
        <v>16</v>
      </c>
      <c r="C44">
        <v>5655.58</v>
      </c>
      <c r="D44">
        <v>5664.1144899999999</v>
      </c>
      <c r="E44" s="2">
        <v>1.9558250634843764E-2</v>
      </c>
      <c r="F44" s="1">
        <v>46010</v>
      </c>
      <c r="G44">
        <v>4524.4639999999999</v>
      </c>
      <c r="H44">
        <v>0.409279</v>
      </c>
      <c r="J44" s="3">
        <f>(F44-A44)/365</f>
        <v>6.3013698630136991E-2</v>
      </c>
      <c r="K44" s="3">
        <f>(LN(D44/G44)+H44^2*J44/2)/(H44*SQRT(J44))</f>
        <v>2.2379844937619522</v>
      </c>
      <c r="L44" s="3">
        <f>K44-H44*SQRT(J44)</f>
        <v>2.1352451121309239</v>
      </c>
      <c r="M44" s="3">
        <f>EXP(-E44*J44)*(D44*_xlfn.NORM.DIST(K44,0,1,TRUE)-G44*_xlfn.NORM.DIST(L44,0,1,TRUE))</f>
        <v>1140.8809465834815</v>
      </c>
      <c r="N44" s="3">
        <f>EXP(-E44*J44)*(G44*_xlfn.NORM.DIST(-L44,0,1,TRUE)-D44*_xlfn.NORM.DIST(-K44,0,1,TRUE))</f>
        <v>2.6341396713285126</v>
      </c>
      <c r="O44" s="3" t="b">
        <f>(M44-N44)=EXP(-E44*J44)*(D44-G44)</f>
        <v>1</v>
      </c>
    </row>
    <row r="45" spans="1:15" x14ac:dyDescent="0.3">
      <c r="A45" s="1">
        <v>45987</v>
      </c>
      <c r="B45" t="s">
        <v>16</v>
      </c>
      <c r="C45">
        <v>5655.58</v>
      </c>
      <c r="D45">
        <v>5664.1144899999999</v>
      </c>
      <c r="E45" s="2">
        <v>1.9558250634843764E-2</v>
      </c>
      <c r="F45" s="1">
        <v>46010</v>
      </c>
      <c r="G45">
        <v>5090.0219999999999</v>
      </c>
      <c r="H45">
        <v>0.27287600000000001</v>
      </c>
      <c r="J45" s="3">
        <f>(F45-A45)/365</f>
        <v>6.3013698630136991E-2</v>
      </c>
      <c r="K45" s="3">
        <f>(LN(D45/G45)+H45^2*J45/2)/(H45*SQRT(J45))</f>
        <v>1.5944000903500839</v>
      </c>
      <c r="L45" s="3">
        <f>K45-H45*SQRT(J45)</f>
        <v>1.5259013120058531</v>
      </c>
      <c r="M45" s="3">
        <f>EXP(-E45*J45)*(D45*_xlfn.NORM.DIST(K45,0,1,TRUE)-G45*_xlfn.NORM.DIST(L45,0,1,TRUE))</f>
        <v>582.75439780822944</v>
      </c>
      <c r="N45" s="3">
        <f>EXP(-E45*J45)*(G45*_xlfn.NORM.DIST(-L45,0,1,TRUE)-D45*_xlfn.NORM.DIST(-K45,0,1,TRUE))</f>
        <v>9.3690052263806134</v>
      </c>
      <c r="O45" s="3" t="b">
        <f>(M45-N45)=EXP(-E45*J45)*(D45-G45)</f>
        <v>1</v>
      </c>
    </row>
    <row r="46" spans="1:15" x14ac:dyDescent="0.3">
      <c r="A46" s="1">
        <v>45987</v>
      </c>
      <c r="B46" t="s">
        <v>16</v>
      </c>
      <c r="C46">
        <v>5655.58</v>
      </c>
      <c r="D46">
        <v>5664.1144899999999</v>
      </c>
      <c r="E46" s="2">
        <v>1.9558250634843764E-2</v>
      </c>
      <c r="F46" s="1">
        <v>46010</v>
      </c>
      <c r="G46">
        <v>5372.8009999999995</v>
      </c>
      <c r="H46">
        <v>0.211121</v>
      </c>
      <c r="J46" s="3">
        <f>(F46-A46)/365</f>
        <v>6.3013698630136991E-2</v>
      </c>
      <c r="K46" s="3">
        <f>(LN(D46/G46)+H46^2*J46/2)/(H46*SQRT(J46))</f>
        <v>1.0228091555702798</v>
      </c>
      <c r="L46" s="3">
        <f>K46-H46*SQRT(J46)</f>
        <v>0.96981244430651048</v>
      </c>
      <c r="M46" s="3">
        <f>EXP(-E46*J46)*(D46*_xlfn.NORM.DIST(K46,0,1,TRUE)-G46*_xlfn.NORM.DIST(L46,0,1,TRUE))</f>
        <v>315.44858564800205</v>
      </c>
      <c r="N46" s="3">
        <f>EXP(-E46*J46)*(G46*_xlfn.NORM.DIST(-L46,0,1,TRUE)-D46*_xlfn.NORM.DIST(-K46,0,1,TRUE))</f>
        <v>24.493900231303996</v>
      </c>
      <c r="O46" s="3" t="b">
        <f>(M46-N46)=EXP(-E46*J46)*(D46-G46)</f>
        <v>1</v>
      </c>
    </row>
    <row r="47" spans="1:15" x14ac:dyDescent="0.3">
      <c r="A47" s="1">
        <v>45987</v>
      </c>
      <c r="B47" t="s">
        <v>16</v>
      </c>
      <c r="C47">
        <v>5655.58</v>
      </c>
      <c r="D47">
        <v>5664.1144899999999</v>
      </c>
      <c r="E47" s="2">
        <v>1.9558250634843764E-2</v>
      </c>
      <c r="F47" s="1">
        <v>46010</v>
      </c>
      <c r="G47">
        <v>5655.58</v>
      </c>
      <c r="H47">
        <v>0.16223199999999999</v>
      </c>
      <c r="J47" s="3">
        <f>(F47-A47)/365</f>
        <v>6.3013698630136991E-2</v>
      </c>
      <c r="K47" s="3">
        <f>(LN(D47/G47)+H47^2*J47/2)/(H47*SQRT(J47))</f>
        <v>5.7389202940200147E-2</v>
      </c>
      <c r="L47" s="3">
        <f>K47-H47*SQRT(J47)</f>
        <v>1.6664867313977094E-2</v>
      </c>
      <c r="M47" s="3">
        <f>EXP(-E47*J47)*(D47*_xlfn.NORM.DIST(K47,0,1,TRUE)-G47*_xlfn.NORM.DIST(L47,0,1,TRUE))</f>
        <v>96.158932162149284</v>
      </c>
      <c r="N47" s="3">
        <f>EXP(-E47*J47)*(G47*_xlfn.NORM.DIST(-L47,0,1,TRUE)-D47*_xlfn.NORM.DIST(-K47,0,1,TRUE))</f>
        <v>87.63495391060286</v>
      </c>
      <c r="O47" s="3" t="b">
        <f>(M47-N47)=EXP(-E47*J47)*(D47-G47)</f>
        <v>0</v>
      </c>
    </row>
    <row r="48" spans="1:15" x14ac:dyDescent="0.3">
      <c r="A48" s="1">
        <v>45987</v>
      </c>
      <c r="B48" t="s">
        <v>16</v>
      </c>
      <c r="C48">
        <v>5655.58</v>
      </c>
      <c r="D48">
        <v>5664.1144899999999</v>
      </c>
      <c r="E48" s="2">
        <v>1.9558250634843764E-2</v>
      </c>
      <c r="F48" s="1">
        <v>46010</v>
      </c>
      <c r="G48">
        <v>5938.3590000000004</v>
      </c>
      <c r="H48">
        <v>0.13950599999999999</v>
      </c>
      <c r="J48" s="3">
        <f>(F48-A48)/365</f>
        <v>6.3013698630136991E-2</v>
      </c>
      <c r="K48" s="3">
        <f>(LN(D48/G48)+H48^2*J48/2)/(H48*SQRT(J48))</f>
        <v>-1.3326584477335306</v>
      </c>
      <c r="L48" s="3">
        <f>K48-H48*SQRT(J48)</f>
        <v>-1.3676779825100966</v>
      </c>
      <c r="M48" s="3">
        <f>EXP(-E48*J48)*(D48*_xlfn.NORM.DIST(K48,0,1,TRUE)-G48*_xlfn.NORM.DIST(L48,0,1,TRUE))</f>
        <v>8.2921443124644938</v>
      </c>
      <c r="N48" s="3">
        <f>EXP(-E48*J48)*(G48*_xlfn.NORM.DIST(-L48,0,1,TRUE)-D48*_xlfn.NORM.DIST(-K48,0,1,TRUE))</f>
        <v>282.19887322607059</v>
      </c>
      <c r="O48" s="3" t="b">
        <f>(M48-N48)=EXP(-E48*J48)*(D48-G48)</f>
        <v>1</v>
      </c>
    </row>
    <row r="49" spans="1:15" x14ac:dyDescent="0.3">
      <c r="A49" s="1">
        <v>45987</v>
      </c>
      <c r="B49" t="s">
        <v>16</v>
      </c>
      <c r="C49">
        <v>5655.58</v>
      </c>
      <c r="D49">
        <v>5664.1144899999999</v>
      </c>
      <c r="E49" s="2">
        <v>1.9558250634843764E-2</v>
      </c>
      <c r="F49" s="1">
        <v>46010</v>
      </c>
      <c r="G49">
        <v>6221.1380000000008</v>
      </c>
      <c r="H49">
        <v>0.14974999999999999</v>
      </c>
      <c r="J49" s="3">
        <f>(F49-A49)/365</f>
        <v>6.3013698630136991E-2</v>
      </c>
      <c r="K49" s="3">
        <f>(LN(D49/G49)+H49^2*J49/2)/(H49*SQRT(J49))</f>
        <v>-2.4765407007327047</v>
      </c>
      <c r="L49" s="3">
        <f>K49-H49*SQRT(J49)</f>
        <v>-2.5141317386292164</v>
      </c>
      <c r="M49" s="3">
        <f>EXP(-E49*J49)*(D49*_xlfn.NORM.DIST(K49,0,1,TRUE)-G49*_xlfn.NORM.DIST(L49,0,1,TRUE))</f>
        <v>0.45309089217964577</v>
      </c>
      <c r="N49" s="3">
        <f>EXP(-E49*J49)*(G49*_xlfn.NORM.DIST(-L49,0,1,TRUE)-D49*_xlfn.NORM.DIST(-K49,0,1,TRUE))</f>
        <v>556.79052697093755</v>
      </c>
      <c r="O49" s="3" t="b">
        <f>(M49-N49)=EXP(-E49*J49)*(D49-G49)</f>
        <v>1</v>
      </c>
    </row>
    <row r="50" spans="1:15" x14ac:dyDescent="0.3">
      <c r="A50" s="1">
        <v>45987</v>
      </c>
      <c r="B50" t="s">
        <v>16</v>
      </c>
      <c r="C50">
        <v>5655.58</v>
      </c>
      <c r="D50">
        <v>5664.1144899999999</v>
      </c>
      <c r="E50" s="2">
        <v>1.9558250634843764E-2</v>
      </c>
      <c r="F50" s="1">
        <v>46010</v>
      </c>
      <c r="G50">
        <v>6786.6959999999999</v>
      </c>
      <c r="H50">
        <v>0.21197099999999999</v>
      </c>
      <c r="J50" s="3">
        <f>(F50-A50)/365</f>
        <v>6.3013698630136991E-2</v>
      </c>
      <c r="K50" s="3">
        <f>(LN(D50/G50)+H50^2*J50/2)/(H50*SQRT(J50))</f>
        <v>-3.371503850666675</v>
      </c>
      <c r="L50" s="3">
        <f>K50-H50*SQRT(J50)</f>
        <v>-3.4247139334310255</v>
      </c>
      <c r="M50" s="3">
        <f>EXP(-E50*J50)*(D50*_xlfn.NORM.DIST(K50,0,1,TRUE)-G50*_xlfn.NORM.DIST(L50,0,1,TRUE))</f>
        <v>2.8755913197294761E-2</v>
      </c>
      <c r="N50" s="3">
        <f>EXP(-E50*J50)*(G50*_xlfn.NORM.DIST(-L50,0,1,TRUE)-D50*_xlfn.NORM.DIST(-K50,0,1,TRUE))</f>
        <v>1121.2276063222569</v>
      </c>
      <c r="O50" s="3" t="b">
        <f>(M50-N50)=EXP(-E50*J50)*(D50-G50)</f>
        <v>1</v>
      </c>
    </row>
    <row r="51" spans="1:15" x14ac:dyDescent="0.3">
      <c r="A51" s="1">
        <v>45987</v>
      </c>
      <c r="B51" t="s">
        <v>16</v>
      </c>
      <c r="C51">
        <v>5655.58</v>
      </c>
      <c r="D51">
        <v>5664.1144899999999</v>
      </c>
      <c r="E51" s="2">
        <v>1.9558250634843764E-2</v>
      </c>
      <c r="F51" s="1">
        <v>46010</v>
      </c>
      <c r="G51">
        <v>7352.2539999999999</v>
      </c>
      <c r="H51">
        <v>0.27347700000000003</v>
      </c>
      <c r="J51" s="3">
        <f>(F51-A51)/365</f>
        <v>6.3013698630136991E-2</v>
      </c>
      <c r="K51" s="3">
        <f>(LN(D51/G51)+H51^2*J51/2)/(H51*SQRT(J51))</f>
        <v>-3.7654962079055534</v>
      </c>
      <c r="L51" s="3">
        <f>K51-H51*SQRT(J51)</f>
        <v>-3.8341458524519596</v>
      </c>
      <c r="M51" s="3">
        <f>EXP(-E51*J51)*(D51*_xlfn.NORM.DIST(K51,0,1,TRUE)-G51*_xlfn.NORM.DIST(L51,0,1,TRUE))</f>
        <v>7.5344122531623677E-3</v>
      </c>
      <c r="N51" s="3">
        <f>EXP(-E51*J51)*(G51*_xlfn.NORM.DIST(-L51,0,1,TRUE)-D51*_xlfn.NORM.DIST(-K51,0,1,TRUE))</f>
        <v>1686.0677991516163</v>
      </c>
      <c r="O51" s="3" t="b">
        <f>(M51-N51)=EXP(-E51*J51)*(D51-G51)</f>
        <v>1</v>
      </c>
    </row>
    <row r="52" spans="1:15" x14ac:dyDescent="0.3">
      <c r="A52" s="1">
        <v>45987</v>
      </c>
      <c r="B52" t="s">
        <v>16</v>
      </c>
      <c r="C52">
        <v>5655.58</v>
      </c>
      <c r="D52">
        <v>5664.1144899999999</v>
      </c>
      <c r="E52" s="2">
        <v>1.9558250634843764E-2</v>
      </c>
      <c r="F52" s="1">
        <v>46010</v>
      </c>
      <c r="G52">
        <v>7917.8119999999999</v>
      </c>
      <c r="H52">
        <v>0.32568399999999997</v>
      </c>
      <c r="J52" s="3">
        <f>(F52-A52)/365</f>
        <v>6.3013698630136991E-2</v>
      </c>
      <c r="K52" s="3">
        <f>(LN(D52/G52)+H52^2*J52/2)/(H52*SQRT(J52))</f>
        <v>-4.0562989114704147</v>
      </c>
      <c r="L52" s="3">
        <f>K52-H52*SQRT(J52)</f>
        <v>-4.1380538335825188</v>
      </c>
      <c r="M52" s="3">
        <f>EXP(-E52*J52)*(D52*_xlfn.NORM.DIST(K52,0,1,TRUE)-G52*_xlfn.NORM.DIST(L52,0,1,TRUE))</f>
        <v>2.526892945833656E-3</v>
      </c>
      <c r="N52" s="3">
        <f>EXP(-E52*J52)*(G52*_xlfn.NORM.DIST(-L52,0,1,TRUE)-D52*_xlfn.NORM.DIST(-K52,0,1,TRUE))</f>
        <v>2250.9242059626122</v>
      </c>
      <c r="O52" s="3" t="b">
        <f>(M52-N52)=EXP(-E52*J52)*(D52-G52)</f>
        <v>1</v>
      </c>
    </row>
    <row r="53" spans="1:15" x14ac:dyDescent="0.3">
      <c r="A53" s="1">
        <v>45987</v>
      </c>
      <c r="B53" t="s">
        <v>16</v>
      </c>
      <c r="C53">
        <v>5655.58</v>
      </c>
      <c r="D53">
        <v>5664.1144899999999</v>
      </c>
      <c r="E53" s="2">
        <v>1.9558250634843764E-2</v>
      </c>
      <c r="F53" s="1">
        <v>46010</v>
      </c>
      <c r="G53">
        <v>8483.3700000000008</v>
      </c>
      <c r="H53">
        <v>0.37177700000000002</v>
      </c>
      <c r="J53" s="3">
        <f>(F53-A53)/365</f>
        <v>6.3013698630136991E-2</v>
      </c>
      <c r="K53" s="3">
        <f>(LN(D53/G53)+H53^2*J53/2)/(H53*SQRT(J53))</f>
        <v>-4.2818166953407601</v>
      </c>
      <c r="L53" s="3">
        <f>K53-H53*SQRT(J53)</f>
        <v>-4.3751421263661454</v>
      </c>
      <c r="M53" s="3">
        <f>EXP(-E53*J53)*(D53*_xlfn.NORM.DIST(K53,0,1,TRUE)-G53*_xlfn.NORM.DIST(L53,0,1,TRUE))</f>
        <v>1.0233368889411051E-3</v>
      </c>
      <c r="N53" s="3">
        <f>EXP(-E53*J53)*(G53*_xlfn.NORM.DIST(-L53,0,1,TRUE)-D53*_xlfn.NORM.DIST(-K53,0,1,TRUE))</f>
        <v>2815.7841167368588</v>
      </c>
      <c r="O53" s="3" t="b">
        <f>(M53-N53)=EXP(-E53*J53)*(D53-G53)</f>
        <v>1</v>
      </c>
    </row>
    <row r="54" spans="1:15" x14ac:dyDescent="0.3">
      <c r="A54" s="1">
        <v>45987</v>
      </c>
      <c r="B54" t="s">
        <v>16</v>
      </c>
      <c r="C54">
        <v>5655.58</v>
      </c>
      <c r="D54">
        <v>5672.9276600000003</v>
      </c>
      <c r="E54" s="2">
        <v>1.9532920837024716E-2</v>
      </c>
      <c r="F54" s="1">
        <v>46038</v>
      </c>
      <c r="G54">
        <v>2827.79</v>
      </c>
      <c r="H54">
        <v>0.64730500000000002</v>
      </c>
      <c r="J54" s="3">
        <f>(F54-A54)/365</f>
        <v>0.13972602739726028</v>
      </c>
      <c r="K54" s="3">
        <f>(LN(D54/G54)+H54^2*J54/2)/(H54*SQRT(J54))</f>
        <v>2.9983301079808986</v>
      </c>
      <c r="L54" s="3">
        <f>K54-H54*SQRT(J54)</f>
        <v>2.7563678562307832</v>
      </c>
      <c r="M54" s="3">
        <f>EXP(-E54*J54)*(D54*_xlfn.NORM.DIST(K54,0,1,TRUE)-G54*_xlfn.NORM.DIST(L54,0,1,TRUE))</f>
        <v>2837.9454578129098</v>
      </c>
      <c r="N54" s="3">
        <f>EXP(-E54*J54)*(G54*_xlfn.NORM.DIST(-L54,0,1,TRUE)-D54*_xlfn.NORM.DIST(-K54,0,1,TRUE))</f>
        <v>0.56232405388322426</v>
      </c>
      <c r="O54" s="3" t="b">
        <f>(M54-N54)=EXP(-E54*J54)*(D54-G54)</f>
        <v>1</v>
      </c>
    </row>
    <row r="55" spans="1:15" x14ac:dyDescent="0.3">
      <c r="A55" s="1">
        <v>45987</v>
      </c>
      <c r="B55" t="s">
        <v>16</v>
      </c>
      <c r="C55">
        <v>5655.58</v>
      </c>
      <c r="D55">
        <v>5672.9276600000003</v>
      </c>
      <c r="E55" s="2">
        <v>1.9532920837024716E-2</v>
      </c>
      <c r="F55" s="1">
        <v>46038</v>
      </c>
      <c r="G55">
        <v>3393.348</v>
      </c>
      <c r="H55">
        <v>0.53536399999999995</v>
      </c>
      <c r="J55" s="3">
        <f>(F55-A55)/365</f>
        <v>0.13972602739726028</v>
      </c>
      <c r="K55" s="3">
        <f>(LN(D55/G55)+H55^2*J55/2)/(H55*SQRT(J55))</f>
        <v>2.6679758657353081</v>
      </c>
      <c r="L55" s="3">
        <f>K55-H55*SQRT(J55)</f>
        <v>2.4678570980045649</v>
      </c>
      <c r="M55" s="3">
        <f>EXP(-E55*J55)*(D55*_xlfn.NORM.DIST(K55,0,1,TRUE)-G55*_xlfn.NORM.DIST(L55,0,1,TRUE))</f>
        <v>2274.779707504631</v>
      </c>
      <c r="N55" s="3">
        <f>EXP(-E55*J55)*(G55*_xlfn.NORM.DIST(-L55,0,1,TRUE)-D55*_xlfn.NORM.DIST(-K55,0,1,TRUE))</f>
        <v>1.4131248331488107</v>
      </c>
      <c r="O55" s="3" t="b">
        <f>(M55-N55)=EXP(-E55*J55)*(D55-G55)</f>
        <v>1</v>
      </c>
    </row>
    <row r="56" spans="1:15" x14ac:dyDescent="0.3">
      <c r="A56" s="1">
        <v>45987</v>
      </c>
      <c r="B56" t="s">
        <v>16</v>
      </c>
      <c r="C56">
        <v>5655.58</v>
      </c>
      <c r="D56">
        <v>5672.9276600000003</v>
      </c>
      <c r="E56" s="2">
        <v>1.9532920837024716E-2</v>
      </c>
      <c r="F56" s="1">
        <v>46038</v>
      </c>
      <c r="G56">
        <v>3958.9059999999999</v>
      </c>
      <c r="H56">
        <v>0.42643900000000001</v>
      </c>
      <c r="J56" s="3">
        <f>(F56-A56)/365</f>
        <v>0.13972602739726028</v>
      </c>
      <c r="K56" s="3">
        <f>(LN(D56/G56)+H56^2*J56/2)/(H56*SQRT(J56))</f>
        <v>2.3364867309602495</v>
      </c>
      <c r="L56" s="3">
        <f>K56-H56*SQRT(J56)</f>
        <v>2.1770840681134191</v>
      </c>
      <c r="M56" s="3">
        <f>EXP(-E56*J56)*(D56*_xlfn.NORM.DIST(K56,0,1,TRUE)-G56*_xlfn.NORM.DIST(L56,0,1,TRUE))</f>
        <v>1712.4701986628515</v>
      </c>
      <c r="N56" s="3">
        <f>EXP(-E56*J56)*(G56*_xlfn.NORM.DIST(-L56,0,1,TRUE)-D56*_xlfn.NORM.DIST(-K56,0,1,TRUE))</f>
        <v>3.1201670789138753</v>
      </c>
      <c r="O56" s="3" t="b">
        <f>(M56-N56)=EXP(-E56*J56)*(D56-G56)</f>
        <v>1</v>
      </c>
    </row>
    <row r="57" spans="1:15" x14ac:dyDescent="0.3">
      <c r="A57" s="1">
        <v>45987</v>
      </c>
      <c r="B57" t="s">
        <v>16</v>
      </c>
      <c r="C57">
        <v>5655.58</v>
      </c>
      <c r="D57">
        <v>5672.9276600000003</v>
      </c>
      <c r="E57" s="2">
        <v>1.9532920837024716E-2</v>
      </c>
      <c r="F57" s="1">
        <v>46038</v>
      </c>
      <c r="G57">
        <v>4524.4639999999999</v>
      </c>
      <c r="H57">
        <v>0.32350699999999999</v>
      </c>
      <c r="J57" s="3">
        <f>(F57-A57)/365</f>
        <v>0.13972602739726028</v>
      </c>
      <c r="K57" s="3">
        <f>(LN(D57/G57)+H57^2*J57/2)/(H57*SQRT(J57))</f>
        <v>1.9310687717132344</v>
      </c>
      <c r="L57" s="3">
        <f>K57-H57*SQRT(J57)</f>
        <v>1.8101420336578746</v>
      </c>
      <c r="M57" s="3">
        <f>EXP(-E57*J57)*(D57*_xlfn.NORM.DIST(K57,0,1,TRUE)-G57*_xlfn.NORM.DIST(L57,0,1,TRUE))</f>
        <v>1152.6105281704345</v>
      </c>
      <c r="N57" s="3">
        <f>EXP(-E57*J57)*(G57*_xlfn.NORM.DIST(-L57,0,1,TRUE)-D57*_xlfn.NORM.DIST(-K57,0,1,TRUE))</f>
        <v>7.2770476740411958</v>
      </c>
      <c r="O57" s="3" t="b">
        <f>(M57-N57)=EXP(-E57*J57)*(D57-G57)</f>
        <v>1</v>
      </c>
    </row>
    <row r="58" spans="1:15" x14ac:dyDescent="0.3">
      <c r="A58" s="1">
        <v>45987</v>
      </c>
      <c r="B58" t="s">
        <v>16</v>
      </c>
      <c r="C58">
        <v>5655.58</v>
      </c>
      <c r="D58">
        <v>5672.9276600000003</v>
      </c>
      <c r="E58" s="2">
        <v>1.9532920837024716E-2</v>
      </c>
      <c r="F58" s="1">
        <v>46038</v>
      </c>
      <c r="G58">
        <v>5090.0219999999999</v>
      </c>
      <c r="H58">
        <v>0.22761200000000001</v>
      </c>
      <c r="J58" s="3">
        <f>(F58-A58)/365</f>
        <v>0.13972602739726028</v>
      </c>
      <c r="K58" s="3">
        <f>(LN(D58/G58)+H58^2*J58/2)/(H58*SQRT(J58))</f>
        <v>1.3168893942253357</v>
      </c>
      <c r="L58" s="3">
        <f>K58-H58*SQRT(J58)</f>
        <v>1.2318081542451913</v>
      </c>
      <c r="M58" s="3">
        <f>EXP(-E58*J58)*(D58*_xlfn.NORM.DIST(K58,0,1,TRUE)-G58*_xlfn.NORM.DIST(L58,0,1,TRUE))</f>
        <v>603.21965995472942</v>
      </c>
      <c r="N58" s="3">
        <f>EXP(-E58*J58)*(G58*_xlfn.NORM.DIST(-L58,0,1,TRUE)-D58*_xlfn.NORM.DIST(-K58,0,1,TRUE))</f>
        <v>21.902730545881358</v>
      </c>
      <c r="O58" s="3" t="b">
        <f>(M58-N58)=EXP(-E58*J58)*(D58-G58)</f>
        <v>1</v>
      </c>
    </row>
    <row r="59" spans="1:15" x14ac:dyDescent="0.3">
      <c r="A59" s="1">
        <v>45987</v>
      </c>
      <c r="B59" t="s">
        <v>16</v>
      </c>
      <c r="C59">
        <v>5655.58</v>
      </c>
      <c r="D59">
        <v>5672.9276600000003</v>
      </c>
      <c r="E59" s="2">
        <v>1.9532920837024716E-2</v>
      </c>
      <c r="F59" s="1">
        <v>46038</v>
      </c>
      <c r="G59">
        <v>5372.8009999999995</v>
      </c>
      <c r="H59">
        <v>0.18599399999999999</v>
      </c>
      <c r="J59" s="3">
        <f>(F59-A59)/365</f>
        <v>0.13972602739726028</v>
      </c>
      <c r="K59" s="3">
        <f>(LN(D59/G59)+H59^2*J59/2)/(H59*SQRT(J59))</f>
        <v>0.81658716874644288</v>
      </c>
      <c r="L59" s="3">
        <f>K59-H59*SQRT(J59)</f>
        <v>0.7470627141971794</v>
      </c>
      <c r="M59" s="3">
        <f>EXP(-E59*J59)*(D59*_xlfn.NORM.DIST(K59,0,1,TRUE)-G59*_xlfn.NORM.DIST(L59,0,1,TRUE))</f>
        <v>346.79783708342148</v>
      </c>
      <c r="N59" s="3">
        <f>EXP(-E59*J59)*(G59*_xlfn.NORM.DIST(-L59,0,1,TRUE)-D59*_xlfn.NORM.DIST(-K59,0,1,TRUE))</f>
        <v>47.48918321834477</v>
      </c>
      <c r="O59" s="3" t="b">
        <f>(M59-N59)=EXP(-E59*J59)*(D59-G59)</f>
        <v>0</v>
      </c>
    </row>
    <row r="60" spans="1:15" x14ac:dyDescent="0.3">
      <c r="A60" s="1">
        <v>45987</v>
      </c>
      <c r="B60" t="s">
        <v>16</v>
      </c>
      <c r="C60">
        <v>5655.58</v>
      </c>
      <c r="D60">
        <v>5672.9276600000003</v>
      </c>
      <c r="E60" s="2">
        <v>1.9532920837024716E-2</v>
      </c>
      <c r="F60" s="1">
        <v>46038</v>
      </c>
      <c r="G60">
        <v>5655.58</v>
      </c>
      <c r="H60">
        <v>0.150972</v>
      </c>
      <c r="J60" s="3">
        <f>(F60-A60)/365</f>
        <v>0.13972602739726028</v>
      </c>
      <c r="K60" s="3">
        <f>(LN(D60/G60)+H60^2*J60/2)/(H60*SQRT(J60))</f>
        <v>8.2487081052828246E-2</v>
      </c>
      <c r="L60" s="3">
        <f>K60-H60*SQRT(J60)</f>
        <v>2.6053830774800966E-2</v>
      </c>
      <c r="M60" s="3">
        <f>EXP(-E60*J60)*(D60*_xlfn.NORM.DIST(K60,0,1,TRUE)-G60*_xlfn.NORM.DIST(L60,0,1,TRUE))</f>
        <v>135.99570944240887</v>
      </c>
      <c r="N60" s="3">
        <f>EXP(-E60*J60)*(G60*_xlfn.NORM.DIST(-L60,0,1,TRUE)-D60*_xlfn.NORM.DIST(-K60,0,1,TRUE))</f>
        <v>118.69533112110616</v>
      </c>
      <c r="O60" s="3" t="b">
        <f>(M60-N60)=EXP(-E60*J60)*(D60-G60)</f>
        <v>0</v>
      </c>
    </row>
    <row r="61" spans="1:15" x14ac:dyDescent="0.3">
      <c r="A61" s="1">
        <v>45987</v>
      </c>
      <c r="B61" t="s">
        <v>16</v>
      </c>
      <c r="C61">
        <v>5655.58</v>
      </c>
      <c r="D61">
        <v>5672.9276600000003</v>
      </c>
      <c r="E61" s="2">
        <v>1.9532920837024716E-2</v>
      </c>
      <c r="F61" s="1">
        <v>46038</v>
      </c>
      <c r="G61">
        <v>5938.3590000000004</v>
      </c>
      <c r="H61">
        <v>0.13043299999999999</v>
      </c>
      <c r="J61" s="3">
        <f>(F61-A61)/365</f>
        <v>0.13972602739726028</v>
      </c>
      <c r="K61" s="3">
        <f>(LN(D61/G61)+H61^2*J61/2)/(H61*SQRT(J61))</f>
        <v>-0.91351096468302329</v>
      </c>
      <c r="L61" s="3">
        <f>K61-H61*SQRT(J61)</f>
        <v>-0.96226674809659618</v>
      </c>
      <c r="M61" s="3">
        <f>EXP(-E61*J61)*(D61*_xlfn.NORM.DIST(K61,0,1,TRUE)-G61*_xlfn.NORM.DIST(L61,0,1,TRUE))</f>
        <v>26.423314738557032</v>
      </c>
      <c r="N61" s="3">
        <f>EXP(-E61*J61)*(G61*_xlfn.NORM.DIST(-L61,0,1,TRUE)-D61*_xlfn.NORM.DIST(-K61,0,1,TRUE))</f>
        <v>291.13121196102725</v>
      </c>
      <c r="O61" s="3" t="b">
        <f>(M61-N61)=EXP(-E61*J61)*(D61-G61)</f>
        <v>1</v>
      </c>
    </row>
    <row r="62" spans="1:15" x14ac:dyDescent="0.3">
      <c r="A62" s="1">
        <v>45987</v>
      </c>
      <c r="B62" t="s">
        <v>16</v>
      </c>
      <c r="C62">
        <v>5655.58</v>
      </c>
      <c r="D62">
        <v>5672.9276600000003</v>
      </c>
      <c r="E62" s="2">
        <v>1.9532920837024716E-2</v>
      </c>
      <c r="F62" s="1">
        <v>46038</v>
      </c>
      <c r="G62">
        <v>6221.1380000000008</v>
      </c>
      <c r="H62">
        <v>0.12606300000000001</v>
      </c>
      <c r="J62" s="3">
        <f>(F62-A62)/365</f>
        <v>0.13972602739726028</v>
      </c>
      <c r="K62" s="3">
        <f>(LN(D62/G62)+H62^2*J62/2)/(H62*SQRT(J62))</f>
        <v>-1.9340589481826973</v>
      </c>
      <c r="L62" s="3">
        <f>K62-H62*SQRT(J62)</f>
        <v>-1.9811812280080885</v>
      </c>
      <c r="M62" s="3">
        <f>EXP(-E62*J62)*(D62*_xlfn.NORM.DIST(K62,0,1,TRUE)-G62*_xlfn.NORM.DIST(L62,0,1,TRUE))</f>
        <v>2.65292526555382</v>
      </c>
      <c r="N62" s="3">
        <f>EXP(-E62*J62)*(G62*_xlfn.NORM.DIST(-L62,0,1,TRUE)-D62*_xlfn.NORM.DIST(-K62,0,1,TRUE))</f>
        <v>549.3690980317964</v>
      </c>
      <c r="O62" s="3" t="b">
        <f>(M62-N62)=EXP(-E62*J62)*(D62-G62)</f>
        <v>1</v>
      </c>
    </row>
    <row r="63" spans="1:15" x14ac:dyDescent="0.3">
      <c r="A63" s="1">
        <v>45987</v>
      </c>
      <c r="B63" t="s">
        <v>16</v>
      </c>
      <c r="C63">
        <v>5655.58</v>
      </c>
      <c r="D63">
        <v>5672.9276600000003</v>
      </c>
      <c r="E63" s="2">
        <v>1.9532920837024716E-2</v>
      </c>
      <c r="F63" s="1">
        <v>46038</v>
      </c>
      <c r="G63">
        <v>6786.6959999999999</v>
      </c>
      <c r="H63">
        <v>0.15881899999999999</v>
      </c>
      <c r="J63" s="3">
        <f>(F63-A63)/365</f>
        <v>0.13972602739726028</v>
      </c>
      <c r="K63" s="3">
        <f>(LN(D63/G63)+H63^2*J63/2)/(H63*SQRT(J63))</f>
        <v>-2.9898485931759757</v>
      </c>
      <c r="L63" s="3">
        <f>K63-H63*SQRT(J63)</f>
        <v>-3.0492150477232163</v>
      </c>
      <c r="M63" s="3">
        <f>EXP(-E63*J63)*(D63*_xlfn.NORM.DIST(K63,0,1,TRUE)-G63*_xlfn.NORM.DIST(L63,0,1,TRUE))</f>
        <v>0.1309559795329229</v>
      </c>
      <c r="N63" s="3">
        <f>EXP(-E63*J63)*(G63*_xlfn.NORM.DIST(-L63,0,1,TRUE)-D63*_xlfn.NORM.DIST(-K63,0,1,TRUE))</f>
        <v>1110.86367983332</v>
      </c>
      <c r="O63" s="3" t="b">
        <f>(M63-N63)=EXP(-E63*J63)*(D63-G63)</f>
        <v>1</v>
      </c>
    </row>
    <row r="64" spans="1:15" x14ac:dyDescent="0.3">
      <c r="A64" s="1">
        <v>45987</v>
      </c>
      <c r="B64" t="s">
        <v>16</v>
      </c>
      <c r="C64">
        <v>5655.58</v>
      </c>
      <c r="D64">
        <v>5672.9276600000003</v>
      </c>
      <c r="E64" s="2">
        <v>1.9532920837024716E-2</v>
      </c>
      <c r="F64" s="1">
        <v>46038</v>
      </c>
      <c r="G64">
        <v>7352.2539999999999</v>
      </c>
      <c r="H64">
        <v>0.20119699999999999</v>
      </c>
      <c r="J64" s="3">
        <f>(F64-A64)/365</f>
        <v>0.13972602739726028</v>
      </c>
      <c r="K64" s="3">
        <f>(LN(D64/G64)+H64^2*J64/2)/(H64*SQRT(J64))</f>
        <v>-3.4102200345684559</v>
      </c>
      <c r="L64" s="3">
        <f>K64-H64*SQRT(J64)</f>
        <v>-3.4854273621271306</v>
      </c>
      <c r="M64" s="3">
        <f>EXP(-E64*J64)*(D64*_xlfn.NORM.DIST(K64,0,1,TRUE)-G64*_xlfn.NORM.DIST(L64,0,1,TRUE))</f>
        <v>3.479651931049843E-2</v>
      </c>
      <c r="N64" s="3">
        <f>EXP(-E64*J64)*(G64*_xlfn.NORM.DIST(-L64,0,1,TRUE)-D64*_xlfn.NORM.DIST(-K64,0,1,TRUE))</f>
        <v>1674.7840714606421</v>
      </c>
      <c r="O64" s="3" t="b">
        <f>(M64-N64)=EXP(-E64*J64)*(D64-G64)</f>
        <v>1</v>
      </c>
    </row>
    <row r="65" spans="1:15" x14ac:dyDescent="0.3">
      <c r="A65" s="1">
        <v>45987</v>
      </c>
      <c r="B65" t="s">
        <v>16</v>
      </c>
      <c r="C65">
        <v>5655.58</v>
      </c>
      <c r="D65">
        <v>5672.9276600000003</v>
      </c>
      <c r="E65" s="2">
        <v>1.9532920837024716E-2</v>
      </c>
      <c r="F65" s="1">
        <v>46038</v>
      </c>
      <c r="G65">
        <v>7917.8119999999999</v>
      </c>
      <c r="H65">
        <v>0.23785600000000001</v>
      </c>
      <c r="J65" s="3">
        <f>(F65-A65)/365</f>
        <v>0.13972602739726028</v>
      </c>
      <c r="K65" s="3">
        <f>(LN(D65/G65)+H65^2*J65/2)/(H65*SQRT(J65))</f>
        <v>-3.705493296821841</v>
      </c>
      <c r="L65" s="3">
        <f>K65-H65*SQRT(J65)</f>
        <v>-3.794403738348286</v>
      </c>
      <c r="M65" s="3">
        <f>EXP(-E65*J65)*(D65*_xlfn.NORM.DIST(K65,0,1,TRUE)-G65*_xlfn.NORM.DIST(L65,0,1,TRUE))</f>
        <v>1.248930003177986E-2</v>
      </c>
      <c r="N65" s="3">
        <f>EXP(-E65*J65)*(G65*_xlfn.NORM.DIST(-L65,0,1,TRUE)-D65*_xlfn.NORM.DIST(-K65,0,1,TRUE))</f>
        <v>2238.7783153289079</v>
      </c>
      <c r="O65" s="3" t="b">
        <f>(M65-N65)=EXP(-E65*J65)*(D65-G65)</f>
        <v>1</v>
      </c>
    </row>
    <row r="66" spans="1:15" x14ac:dyDescent="0.3">
      <c r="A66" s="1">
        <v>45987</v>
      </c>
      <c r="B66" t="s">
        <v>16</v>
      </c>
      <c r="C66">
        <v>5655.58</v>
      </c>
      <c r="D66">
        <v>5672.9276600000003</v>
      </c>
      <c r="E66" s="2">
        <v>1.9532920837024716E-2</v>
      </c>
      <c r="F66" s="1">
        <v>46038</v>
      </c>
      <c r="G66">
        <v>8483.3700000000008</v>
      </c>
      <c r="H66">
        <v>0.26997300000000002</v>
      </c>
      <c r="J66" s="3">
        <f>(F66-A66)/365</f>
        <v>0.13972602739726028</v>
      </c>
      <c r="K66" s="3">
        <f>(LN(D66/G66)+H66^2*J66/2)/(H66*SQRT(J66))</f>
        <v>-3.9370506750933174</v>
      </c>
      <c r="L66" s="3">
        <f>K66-H66*SQRT(J66)</f>
        <v>-4.0379664334942786</v>
      </c>
      <c r="M66" s="3">
        <f>EXP(-E66*J66)*(D66*_xlfn.NORM.DIST(K66,0,1,TRUE)-G66*_xlfn.NORM.DIST(L66,0,1,TRUE))</f>
        <v>5.2661304088280217E-3</v>
      </c>
      <c r="N66" s="3">
        <f>EXP(-E66*J66)*(G66*_xlfn.NORM.DIST(-L66,0,1,TRUE)-D66*_xlfn.NORM.DIST(-K66,0,1,TRUE))</f>
        <v>2802.7876432468297</v>
      </c>
      <c r="O66" s="3" t="b">
        <f>(M66-N66)=EXP(-E66*J66)*(D66-G66)</f>
        <v>1</v>
      </c>
    </row>
    <row r="67" spans="1:15" x14ac:dyDescent="0.3">
      <c r="A67" s="1">
        <v>45987</v>
      </c>
      <c r="B67" t="s">
        <v>16</v>
      </c>
      <c r="C67">
        <v>5655.58</v>
      </c>
      <c r="D67">
        <v>5677.8662299999996</v>
      </c>
      <c r="E67" s="2">
        <v>1.9502086938439561E-2</v>
      </c>
      <c r="F67" s="1">
        <v>46073</v>
      </c>
      <c r="G67">
        <v>2827.79</v>
      </c>
      <c r="H67">
        <v>0.56479500000000005</v>
      </c>
      <c r="J67" s="3">
        <f>(F67-A67)/365</f>
        <v>0.23561643835616439</v>
      </c>
      <c r="K67" s="3">
        <f>(LN(D67/G67)+H67^2*J67/2)/(H67*SQRT(J67))</f>
        <v>2.6797408066034349</v>
      </c>
      <c r="L67" s="3">
        <f>K67-H67*SQRT(J67)</f>
        <v>2.4055874063179701</v>
      </c>
      <c r="M67" s="3">
        <f>EXP(-E67*J67)*(D67*_xlfn.NORM.DIST(K67,0,1,TRUE)-G67*_xlfn.NORM.DIST(L67,0,1,TRUE))</f>
        <v>2838.9137814421015</v>
      </c>
      <c r="N67" s="3">
        <f>EXP(-E67*J67)*(G67*_xlfn.NORM.DIST(-L67,0,1,TRUE)-D67*_xlfn.NORM.DIST(-K67,0,1,TRUE))</f>
        <v>1.9036442566853791</v>
      </c>
      <c r="O67" s="3" t="b">
        <f>(M67-N67)=EXP(-E67*J67)*(D67-G67)</f>
        <v>1</v>
      </c>
    </row>
    <row r="68" spans="1:15" x14ac:dyDescent="0.3">
      <c r="A68" s="1">
        <v>45987</v>
      </c>
      <c r="B68" t="s">
        <v>16</v>
      </c>
      <c r="C68">
        <v>5655.58</v>
      </c>
      <c r="D68">
        <v>5677.8662299999996</v>
      </c>
      <c r="E68" s="2">
        <v>1.9502086938439561E-2</v>
      </c>
      <c r="F68" s="1">
        <v>46073</v>
      </c>
      <c r="G68">
        <v>3393.348</v>
      </c>
      <c r="H68">
        <v>0.46570499999999998</v>
      </c>
      <c r="J68" s="3">
        <f>(F68-A68)/365</f>
        <v>0.23561643835616439</v>
      </c>
      <c r="K68" s="3">
        <f>(LN(D68/G68)+H68^2*J68/2)/(H68*SQRT(J68))</f>
        <v>2.3901677119373339</v>
      </c>
      <c r="L68" s="3">
        <f>K68-H68*SQRT(J68)</f>
        <v>2.1641129322740182</v>
      </c>
      <c r="M68" s="3">
        <f>EXP(-E68*J68)*(D68*_xlfn.NORM.DIST(K68,0,1,TRUE)-G68*_xlfn.NORM.DIST(L68,0,1,TRUE))</f>
        <v>2277.8910082018065</v>
      </c>
      <c r="N68" s="3">
        <f>EXP(-E68*J68)*(G68*_xlfn.NORM.DIST(-L68,0,1,TRUE)-D68*_xlfn.NORM.DIST(-K68,0,1,TRUE))</f>
        <v>3.8460865700498328</v>
      </c>
      <c r="O68" s="3" t="b">
        <f>(M68-N68)=EXP(-E68*J68)*(D68-G68)</f>
        <v>1</v>
      </c>
    </row>
    <row r="69" spans="1:15" x14ac:dyDescent="0.3">
      <c r="A69" s="1">
        <v>45987</v>
      </c>
      <c r="B69" t="s">
        <v>16</v>
      </c>
      <c r="C69">
        <v>5655.58</v>
      </c>
      <c r="D69">
        <v>5677.8662299999996</v>
      </c>
      <c r="E69" s="2">
        <v>1.9502086938439561E-2</v>
      </c>
      <c r="F69" s="1">
        <v>46073</v>
      </c>
      <c r="G69">
        <v>3958.9059999999999</v>
      </c>
      <c r="H69">
        <v>0.374056</v>
      </c>
      <c r="J69" s="3">
        <f>(F69-A69)/365</f>
        <v>0.23561643835616439</v>
      </c>
      <c r="K69" s="3">
        <f>(LN(D69/G69)+H69^2*J69/2)/(H69*SQRT(J69))</f>
        <v>2.0768591210684111</v>
      </c>
      <c r="L69" s="3">
        <f>K69-H69*SQRT(J69)</f>
        <v>1.8952910754993466</v>
      </c>
      <c r="M69" s="3">
        <f>EXP(-E69*J69)*(D69*_xlfn.NORM.DIST(K69,0,1,TRUE)-G69*_xlfn.NORM.DIST(L69,0,1,TRUE))</f>
        <v>1718.6068892380299</v>
      </c>
      <c r="N69" s="3">
        <f>EXP(-E69*J69)*(G69*_xlfn.NORM.DIST(-L69,0,1,TRUE)-D69*_xlfn.NORM.DIST(-K69,0,1,TRUE))</f>
        <v>7.5271831599323669</v>
      </c>
      <c r="O69" s="3" t="b">
        <f>(M69-N69)=EXP(-E69*J69)*(D69-G69)</f>
        <v>1</v>
      </c>
    </row>
    <row r="70" spans="1:15" x14ac:dyDescent="0.3">
      <c r="A70" s="1">
        <v>45987</v>
      </c>
      <c r="B70" t="s">
        <v>16</v>
      </c>
      <c r="C70">
        <v>5655.58</v>
      </c>
      <c r="D70">
        <v>5677.8662299999996</v>
      </c>
      <c r="E70" s="2">
        <v>1.9502086938439561E-2</v>
      </c>
      <c r="F70" s="1">
        <v>46073</v>
      </c>
      <c r="G70">
        <v>4524.4639999999999</v>
      </c>
      <c r="H70">
        <v>0.29041600000000001</v>
      </c>
      <c r="J70" s="3">
        <f>(F70-A70)/365</f>
        <v>0.23561643835616439</v>
      </c>
      <c r="K70" s="3">
        <f>(LN(D70/G70)+H70^2*J70/2)/(H70*SQRT(J70))</f>
        <v>1.6813104574085425</v>
      </c>
      <c r="L70" s="3">
        <f>K70-H70*SQRT(J70)</f>
        <v>1.5403415502877225</v>
      </c>
      <c r="M70" s="3">
        <f>EXP(-E70*J70)*(D70*_xlfn.NORM.DIST(K70,0,1,TRUE)-G70*_xlfn.NORM.DIST(L70,0,1,TRUE))</f>
        <v>1164.1977517295009</v>
      </c>
      <c r="N70" s="3">
        <f>EXP(-E70*J70)*(G70*_xlfn.NORM.DIST(-L70,0,1,TRUE)-D70*_xlfn.NORM.DIST(-K70,0,1,TRUE))</f>
        <v>16.083261205062037</v>
      </c>
      <c r="O70" s="3" t="b">
        <f>(M70-N70)=EXP(-E70*J70)*(D70-G70)</f>
        <v>1</v>
      </c>
    </row>
    <row r="71" spans="1:15" x14ac:dyDescent="0.3">
      <c r="A71" s="1">
        <v>45987</v>
      </c>
      <c r="B71" t="s">
        <v>16</v>
      </c>
      <c r="C71">
        <v>5655.58</v>
      </c>
      <c r="D71">
        <v>5677.8662299999996</v>
      </c>
      <c r="E71" s="2">
        <v>1.9502086938439561E-2</v>
      </c>
      <c r="F71" s="1">
        <v>46073</v>
      </c>
      <c r="G71">
        <v>5090.0219999999999</v>
      </c>
      <c r="H71">
        <v>0.21540000000000001</v>
      </c>
      <c r="J71" s="3">
        <f>(F71-A71)/365</f>
        <v>0.23561643835616439</v>
      </c>
      <c r="K71" s="3">
        <f>(LN(D71/G71)+H71^2*J71/2)/(H71*SQRT(J71))</f>
        <v>1.0975882403294179</v>
      </c>
      <c r="L71" s="3">
        <f>K71-H71*SQRT(J71)</f>
        <v>0.9930323529340106</v>
      </c>
      <c r="M71" s="3">
        <f>EXP(-E71*J71)*(D71*_xlfn.NORM.DIST(K71,0,1,TRUE)-G71*_xlfn.NORM.DIST(L71,0,1,TRUE))</f>
        <v>627.84199171608418</v>
      </c>
      <c r="N71" s="3">
        <f>EXP(-E71*J71)*(G71*_xlfn.NORM.DIST(-L71,0,1,TRUE)-D71*_xlfn.NORM.DIST(-K71,0,1,TRUE))</f>
        <v>42.692716745303784</v>
      </c>
      <c r="O71" s="3" t="b">
        <f>(M71-N71)=EXP(-E71*J71)*(D71-G71)</f>
        <v>1</v>
      </c>
    </row>
    <row r="72" spans="1:15" x14ac:dyDescent="0.3">
      <c r="A72" s="1">
        <v>45987</v>
      </c>
      <c r="B72" t="s">
        <v>16</v>
      </c>
      <c r="C72">
        <v>5655.58</v>
      </c>
      <c r="D72">
        <v>5677.8662299999996</v>
      </c>
      <c r="E72" s="2">
        <v>1.9502086938439561E-2</v>
      </c>
      <c r="F72" s="1">
        <v>46073</v>
      </c>
      <c r="G72">
        <v>5372.8009999999995</v>
      </c>
      <c r="H72">
        <v>0.18299099999999999</v>
      </c>
      <c r="J72" s="3">
        <f>(F72-A72)/365</f>
        <v>0.23561643835616439</v>
      </c>
      <c r="K72" s="3">
        <f>(LN(D72/G72)+H72^2*J72/2)/(H72*SQRT(J72))</f>
        <v>0.66615685468078412</v>
      </c>
      <c r="L72" s="3">
        <f>K72-H72*SQRT(J72)</f>
        <v>0.57733240532900609</v>
      </c>
      <c r="M72" s="3">
        <f>EXP(-E72*J72)*(D72*_xlfn.NORM.DIST(K72,0,1,TRUE)-G72*_xlfn.NORM.DIST(L72,0,1,TRUE))</f>
        <v>383.12109670759673</v>
      </c>
      <c r="N72" s="3">
        <f>EXP(-E72*J72)*(G72*_xlfn.NORM.DIST(-L72,0,1,TRUE)-D72*_xlfn.NORM.DIST(-K72,0,1,TRUE))</f>
        <v>79.454429513645579</v>
      </c>
      <c r="O72" s="3" t="b">
        <f>(M72-N72)=EXP(-E72*J72)*(D72-G72)</f>
        <v>1</v>
      </c>
    </row>
    <row r="73" spans="1:15" x14ac:dyDescent="0.3">
      <c r="A73" s="1">
        <v>45987</v>
      </c>
      <c r="B73" t="s">
        <v>16</v>
      </c>
      <c r="C73">
        <v>5655.58</v>
      </c>
      <c r="D73">
        <v>5677.8662299999996</v>
      </c>
      <c r="E73" s="2">
        <v>1.9502086938439561E-2</v>
      </c>
      <c r="F73" s="1">
        <v>46073</v>
      </c>
      <c r="G73">
        <v>5655.58</v>
      </c>
      <c r="H73">
        <v>0.15578900000000001</v>
      </c>
      <c r="J73" s="3">
        <f>(F73-A73)/365</f>
        <v>0.23561643835616439</v>
      </c>
      <c r="K73" s="3">
        <f>(LN(D73/G73)+H73^2*J73/2)/(H73*SQRT(J73))</f>
        <v>8.9817707171696765E-2</v>
      </c>
      <c r="L73" s="3">
        <f>K73-H73*SQRT(J73)</f>
        <v>1.4197200479760308E-2</v>
      </c>
      <c r="M73" s="3">
        <f>EXP(-E73*J73)*(D73*_xlfn.NORM.DIST(K73,0,1,TRUE)-G73*_xlfn.NORM.DIST(L73,0,1,TRUE))</f>
        <v>181.45260942180431</v>
      </c>
      <c r="N73" s="3">
        <f>EXP(-E73*J73)*(G73*_xlfn.NORM.DIST(-L73,0,1,TRUE)-D73*_xlfn.NORM.DIST(-K73,0,1,TRUE))</f>
        <v>159.26855000468308</v>
      </c>
      <c r="O73" s="3" t="b">
        <f>(M73-N73)=EXP(-E73*J73)*(D73-G73)</f>
        <v>1</v>
      </c>
    </row>
    <row r="74" spans="1:15" x14ac:dyDescent="0.3">
      <c r="A74" s="1">
        <v>45987</v>
      </c>
      <c r="B74" t="s">
        <v>16</v>
      </c>
      <c r="C74">
        <v>5655.58</v>
      </c>
      <c r="D74">
        <v>5677.8662299999996</v>
      </c>
      <c r="E74" s="2">
        <v>1.9502086938439561E-2</v>
      </c>
      <c r="F74" s="1">
        <v>46073</v>
      </c>
      <c r="G74">
        <v>5938.3590000000004</v>
      </c>
      <c r="H74">
        <v>0.137988</v>
      </c>
      <c r="J74" s="3">
        <f>(F74-A74)/365</f>
        <v>0.23561643835616439</v>
      </c>
      <c r="K74" s="3">
        <f>(LN(D74/G74)+H74^2*J74/2)/(H74*SQRT(J74))</f>
        <v>-0.63622403169685948</v>
      </c>
      <c r="L74" s="3">
        <f>K74-H74*SQRT(J74)</f>
        <v>-0.70320387287567776</v>
      </c>
      <c r="M74" s="3">
        <f>EXP(-E74*J74)*(D74*_xlfn.NORM.DIST(K74,0,1,TRUE)-G74*_xlfn.NORM.DIST(L74,0,1,TRUE))</f>
        <v>58.1898165092773</v>
      </c>
      <c r="N74" s="3">
        <f>EXP(-E74*J74)*(G74*_xlfn.NORM.DIST(-L74,0,1,TRUE)-D74*_xlfn.NORM.DIST(-K74,0,1,TRUE))</f>
        <v>317.48836486898551</v>
      </c>
      <c r="O74" s="3" t="b">
        <f>(M74-N74)=EXP(-E74*J74)*(D74-G74)</f>
        <v>0</v>
      </c>
    </row>
    <row r="75" spans="1:15" x14ac:dyDescent="0.3">
      <c r="A75" s="1">
        <v>45987</v>
      </c>
      <c r="B75" t="s">
        <v>16</v>
      </c>
      <c r="C75">
        <v>5655.58</v>
      </c>
      <c r="D75">
        <v>5677.8662299999996</v>
      </c>
      <c r="E75" s="2">
        <v>1.9502086938439561E-2</v>
      </c>
      <c r="F75" s="1">
        <v>46073</v>
      </c>
      <c r="G75">
        <v>6221.1380000000008</v>
      </c>
      <c r="H75">
        <v>0.128966</v>
      </c>
      <c r="J75" s="3">
        <f>(F75-A75)/365</f>
        <v>0.23561643835616439</v>
      </c>
      <c r="K75" s="3">
        <f>(LN(D75/G75)+H75^2*J75/2)/(H75*SQRT(J75))</f>
        <v>-1.4283894044573249</v>
      </c>
      <c r="L75" s="3">
        <f>K75-H75*SQRT(J75)</f>
        <v>-1.4909899363692845</v>
      </c>
      <c r="M75" s="3">
        <f>EXP(-E75*J75)*(D75*_xlfn.NORM.DIST(K75,0,1,TRUE)-G75*_xlfn.NORM.DIST(L75,0,1,TRUE))</f>
        <v>11.886652236255278</v>
      </c>
      <c r="N75" s="3">
        <f>EXP(-E75*J75)*(G75*_xlfn.NORM.DIST(-L75,0,1,TRUE)-D75*_xlfn.NORM.DIST(-K75,0,1,TRUE))</f>
        <v>552.6678083727935</v>
      </c>
      <c r="O75" s="3" t="b">
        <f>(M75-N75)=EXP(-E75*J75)*(D75-G75)</f>
        <v>0</v>
      </c>
    </row>
    <row r="76" spans="1:15" x14ac:dyDescent="0.3">
      <c r="A76" s="1">
        <v>45987</v>
      </c>
      <c r="B76" t="s">
        <v>16</v>
      </c>
      <c r="C76">
        <v>5655.58</v>
      </c>
      <c r="D76">
        <v>5677.8662299999996</v>
      </c>
      <c r="E76" s="2">
        <v>1.9502086938439561E-2</v>
      </c>
      <c r="F76" s="1">
        <v>46073</v>
      </c>
      <c r="G76">
        <v>6786.6959999999999</v>
      </c>
      <c r="H76">
        <v>0.13778899999999999</v>
      </c>
      <c r="J76" s="3">
        <f>(F76-A76)/365</f>
        <v>0.23561643835616439</v>
      </c>
      <c r="K76" s="3">
        <f>(LN(D76/G76)+H76^2*J76/2)/(H76*SQRT(J76))</f>
        <v>-2.6337244866648746</v>
      </c>
      <c r="L76" s="3">
        <f>K76-H76*SQRT(J76)</f>
        <v>-2.7006077325716795</v>
      </c>
      <c r="M76" s="3">
        <f>EXP(-E76*J76)*(D76*_xlfn.NORM.DIST(K76,0,1,TRUE)-G76*_xlfn.NORM.DIST(L76,0,1,TRUE))</f>
        <v>0.48732612907866962</v>
      </c>
      <c r="N76" s="3">
        <f>EXP(-E76*J76)*(G76*_xlfn.NORM.DIST(-L76,0,1,TRUE)-D76*_xlfn.NORM.DIST(-K76,0,1,TRUE))</f>
        <v>1104.2336978192754</v>
      </c>
      <c r="O76" s="3" t="b">
        <f>(M76-N76)=EXP(-E76*J76)*(D76-G76)</f>
        <v>1</v>
      </c>
    </row>
    <row r="77" spans="1:15" x14ac:dyDescent="0.3">
      <c r="A77" s="1">
        <v>45987</v>
      </c>
      <c r="B77" t="s">
        <v>16</v>
      </c>
      <c r="C77">
        <v>5655.58</v>
      </c>
      <c r="D77">
        <v>5677.8662299999996</v>
      </c>
      <c r="E77" s="2">
        <v>1.9502086938439561E-2</v>
      </c>
      <c r="F77" s="1">
        <v>46073</v>
      </c>
      <c r="G77">
        <v>7352.2539999999999</v>
      </c>
      <c r="H77">
        <v>0.16972599999999999</v>
      </c>
      <c r="J77" s="3">
        <f>(F77-A77)/365</f>
        <v>0.23561643835616439</v>
      </c>
      <c r="K77" s="3">
        <f>(LN(D77/G77)+H77^2*J77/2)/(H77*SQRT(J77))</f>
        <v>-3.095660224024162</v>
      </c>
      <c r="L77" s="3">
        <f>K77-H77*SQRT(J77)</f>
        <v>-3.1780457975806748</v>
      </c>
      <c r="M77" s="3">
        <f>EXP(-E77*J77)*(D77*_xlfn.NORM.DIST(K77,0,1,TRUE)-G77*_xlfn.NORM.DIST(L77,0,1,TRUE))</f>
        <v>0.12374958873781899</v>
      </c>
      <c r="N77" s="3">
        <f>EXP(-E77*J77)*(G77*_xlfn.NORM.DIST(-L77,0,1,TRUE)-D77*_xlfn.NORM.DIST(-K77,0,1,TRUE))</f>
        <v>1666.8353368325934</v>
      </c>
      <c r="O77" s="3" t="b">
        <f>(M77-N77)=EXP(-E77*J77)*(D77-G77)</f>
        <v>1</v>
      </c>
    </row>
    <row r="78" spans="1:15" x14ac:dyDescent="0.3">
      <c r="A78" s="1">
        <v>45987</v>
      </c>
      <c r="B78" t="s">
        <v>16</v>
      </c>
      <c r="C78">
        <v>5655.58</v>
      </c>
      <c r="D78">
        <v>5677.8662299999996</v>
      </c>
      <c r="E78" s="2">
        <v>1.9502086938439561E-2</v>
      </c>
      <c r="F78" s="1">
        <v>46073</v>
      </c>
      <c r="G78">
        <v>7917.8119999999999</v>
      </c>
      <c r="H78">
        <v>0.19953599999999999</v>
      </c>
      <c r="J78" s="3">
        <f>(F78-A78)/365</f>
        <v>0.23561643835616439</v>
      </c>
      <c r="K78" s="3">
        <f>(LN(D78/G78)+H78^2*J78/2)/(H78*SQRT(J78))</f>
        <v>-3.3849300550396189</v>
      </c>
      <c r="L78" s="3">
        <f>K78-H78*SQRT(J78)</f>
        <v>-3.4817855032630636</v>
      </c>
      <c r="M78" s="3">
        <f>EXP(-E78*J78)*(D78*_xlfn.NORM.DIST(K78,0,1,TRUE)-G78*_xlfn.NORM.DIST(L78,0,1,TRUE))</f>
        <v>4.9129952610095333E-2</v>
      </c>
      <c r="N78" s="3">
        <f>EXP(-E78*J78)*(G78*_xlfn.NORM.DIST(-L78,0,1,TRUE)-D78*_xlfn.NORM.DIST(-K78,0,1,TRUE))</f>
        <v>2229.7259327501251</v>
      </c>
      <c r="O78" s="3" t="b">
        <f>(M78-N78)=EXP(-E78*J78)*(D78-G78)</f>
        <v>1</v>
      </c>
    </row>
    <row r="79" spans="1:15" x14ac:dyDescent="0.3">
      <c r="A79" s="1">
        <v>45987</v>
      </c>
      <c r="B79" t="s">
        <v>16</v>
      </c>
      <c r="C79">
        <v>5655.58</v>
      </c>
      <c r="D79">
        <v>5677.8662299999996</v>
      </c>
      <c r="E79" s="2">
        <v>1.9502086938439561E-2</v>
      </c>
      <c r="F79" s="1">
        <v>46073</v>
      </c>
      <c r="G79">
        <v>8483.3700000000008</v>
      </c>
      <c r="H79">
        <v>0.224966</v>
      </c>
      <c r="J79" s="3">
        <f>(F79-A79)/365</f>
        <v>0.23561643835616439</v>
      </c>
      <c r="K79" s="3">
        <f>(LN(D79/G79)+H79^2*J79/2)/(H79*SQRT(J79))</f>
        <v>-3.6224609348251526</v>
      </c>
      <c r="L79" s="3">
        <f>K79-H79*SQRT(J79)</f>
        <v>-3.7316601909244804</v>
      </c>
      <c r="M79" s="3">
        <f>EXP(-E79*J79)*(D79*_xlfn.NORM.DIST(K79,0,1,TRUE)-G79*_xlfn.NORM.DIST(L79,0,1,TRUE))</f>
        <v>2.1478457920418855E-2</v>
      </c>
      <c r="N79" s="3">
        <f>EXP(-E79*J79)*(G79*_xlfn.NORM.DIST(-L79,0,1,TRUE)-D79*_xlfn.NORM.DIST(-K79,0,1,TRUE))</f>
        <v>2792.6634968090952</v>
      </c>
      <c r="O79" s="3" t="b">
        <f>(M79-N79)=EXP(-E79*J79)*(D79-G79)</f>
        <v>0</v>
      </c>
    </row>
    <row r="80" spans="1:15" x14ac:dyDescent="0.3">
      <c r="A80" s="1">
        <v>45987</v>
      </c>
      <c r="B80" t="s">
        <v>16</v>
      </c>
      <c r="C80">
        <v>5655.58</v>
      </c>
      <c r="D80">
        <v>5687.53971</v>
      </c>
      <c r="E80" s="2">
        <v>1.9480319716066122E-2</v>
      </c>
      <c r="F80" s="1">
        <v>46101</v>
      </c>
      <c r="G80">
        <v>2827.79</v>
      </c>
      <c r="H80">
        <v>0.52298699999999998</v>
      </c>
      <c r="J80" s="3">
        <f>(F80-A80)/365</f>
        <v>0.31232876712328766</v>
      </c>
      <c r="K80" s="3">
        <f>(LN(D80/G80)+H80^2*J80/2)/(H80*SQRT(J80))</f>
        <v>2.5369488795821136</v>
      </c>
      <c r="L80" s="3">
        <f>K80-H80*SQRT(J80)</f>
        <v>2.2446703679725974</v>
      </c>
      <c r="M80" s="3">
        <f>EXP(-E80*J80)*(D80*_xlfn.NORM.DIST(K80,0,1,TRUE)-G80*_xlfn.NORM.DIST(L80,0,1,TRUE))</f>
        <v>2845.6328525244307</v>
      </c>
      <c r="N80" s="3">
        <f>EXP(-E80*J80)*(G80*_xlfn.NORM.DIST(-L80,0,1,TRUE)-D80*_xlfn.NORM.DIST(-K80,0,1,TRUE))</f>
        <v>3.2297911118589382</v>
      </c>
      <c r="O80" s="3" t="b">
        <f>(M80-N80)=EXP(-E80*J80)*(D80-G80)</f>
        <v>1</v>
      </c>
    </row>
    <row r="81" spans="1:15" x14ac:dyDescent="0.3">
      <c r="A81" s="1">
        <v>45987</v>
      </c>
      <c r="B81" t="s">
        <v>16</v>
      </c>
      <c r="C81">
        <v>5655.58</v>
      </c>
      <c r="D81">
        <v>5687.53971</v>
      </c>
      <c r="E81" s="2">
        <v>1.9480319716066122E-2</v>
      </c>
      <c r="F81" s="1">
        <v>46101</v>
      </c>
      <c r="G81">
        <v>3393.348</v>
      </c>
      <c r="H81">
        <v>0.43324699999999999</v>
      </c>
      <c r="J81" s="3">
        <f>(F81-A81)/365</f>
        <v>0.31232876712328766</v>
      </c>
      <c r="K81" s="3">
        <f>(LN(D81/G81)+H81^2*J81/2)/(H81*SQRT(J81))</f>
        <v>2.2540870270005424</v>
      </c>
      <c r="L81" s="3">
        <f>K81-H81*SQRT(J81)</f>
        <v>2.011960954422662</v>
      </c>
      <c r="M81" s="3">
        <f>EXP(-E81*J81)*(D81*_xlfn.NORM.DIST(K81,0,1,TRUE)-G81*_xlfn.NORM.DIST(L81,0,1,TRUE))</f>
        <v>2286.4787978126756</v>
      </c>
      <c r="N81" s="3">
        <f>EXP(-E81*J81)*(G81*_xlfn.NORM.DIST(-L81,0,1,TRUE)-D81*_xlfn.NORM.DIST(-K81,0,1,TRUE))</f>
        <v>6.2031788770095169</v>
      </c>
      <c r="O81" s="3" t="b">
        <f>(M81-N81)=EXP(-E81*J81)*(D81-G81)</f>
        <v>1</v>
      </c>
    </row>
    <row r="82" spans="1:15" x14ac:dyDescent="0.3">
      <c r="A82" s="1">
        <v>45987</v>
      </c>
      <c r="B82" t="s">
        <v>16</v>
      </c>
      <c r="C82">
        <v>5655.58</v>
      </c>
      <c r="D82">
        <v>5687.53971</v>
      </c>
      <c r="E82" s="2">
        <v>1.9480319716066122E-2</v>
      </c>
      <c r="F82" s="1">
        <v>46101</v>
      </c>
      <c r="G82">
        <v>3958.9059999999999</v>
      </c>
      <c r="H82">
        <v>0.35193000000000002</v>
      </c>
      <c r="J82" s="3">
        <f>(F82-A82)/365</f>
        <v>0.31232876712328766</v>
      </c>
      <c r="K82" s="3">
        <f>(LN(D82/G82)+H82^2*J82/2)/(H82*SQRT(J82))</f>
        <v>1.9404611944581365</v>
      </c>
      <c r="L82" s="3">
        <f>K82-H82*SQRT(J82)</f>
        <v>1.7437802509724725</v>
      </c>
      <c r="M82" s="3">
        <f>EXP(-E82*J82)*(D82*_xlfn.NORM.DIST(K82,0,1,TRUE)-G82*_xlfn.NORM.DIST(L82,0,1,TRUE))</f>
        <v>1730.005815538347</v>
      </c>
      <c r="N82" s="3">
        <f>EXP(-E82*J82)*(G82*_xlfn.NORM.DIST(-L82,0,1,TRUE)-D82*_xlfn.NORM.DIST(-K82,0,1,TRUE))</f>
        <v>11.857639079586221</v>
      </c>
      <c r="O82" s="3" t="b">
        <f>(M82-N82)=EXP(-E82*J82)*(D82-G82)</f>
        <v>1</v>
      </c>
    </row>
    <row r="83" spans="1:15" x14ac:dyDescent="0.3">
      <c r="A83" s="1">
        <v>45987</v>
      </c>
      <c r="B83" t="s">
        <v>16</v>
      </c>
      <c r="C83">
        <v>5655.58</v>
      </c>
      <c r="D83">
        <v>5687.53971</v>
      </c>
      <c r="E83" s="2">
        <v>1.9480319716066122E-2</v>
      </c>
      <c r="F83" s="1">
        <v>46101</v>
      </c>
      <c r="G83">
        <v>4524.4639999999999</v>
      </c>
      <c r="H83">
        <v>0.27715899999999999</v>
      </c>
      <c r="J83" s="3">
        <f>(F83-A83)/365</f>
        <v>0.31232876712328766</v>
      </c>
      <c r="K83" s="3">
        <f>(LN(D83/G83)+H83^2*J83/2)/(H83*SQRT(J83))</f>
        <v>1.5544471256980736</v>
      </c>
      <c r="L83" s="3">
        <f>K83-H83*SQRT(J83)</f>
        <v>1.3995529887516833</v>
      </c>
      <c r="M83" s="3">
        <f>EXP(-E83*J83)*(D83*_xlfn.NORM.DIST(K83,0,1,TRUE)-G83*_xlfn.NORM.DIST(L83,0,1,TRUE))</f>
        <v>1180.0837689663638</v>
      </c>
      <c r="N83" s="3">
        <f>EXP(-E83*J83)*(G83*_xlfn.NORM.DIST(-L83,0,1,TRUE)-D83*_xlfn.NORM.DIST(-K83,0,1,TRUE))</f>
        <v>24.063034984507979</v>
      </c>
      <c r="O83" s="3" t="b">
        <f>(M83-N83)=EXP(-E83*J83)*(D83-G83)</f>
        <v>1</v>
      </c>
    </row>
    <row r="84" spans="1:15" x14ac:dyDescent="0.3">
      <c r="A84" s="1">
        <v>45987</v>
      </c>
      <c r="B84" t="s">
        <v>16</v>
      </c>
      <c r="C84">
        <v>5655.58</v>
      </c>
      <c r="D84">
        <v>5687.53971</v>
      </c>
      <c r="E84" s="2">
        <v>1.9480319716066122E-2</v>
      </c>
      <c r="F84" s="1">
        <v>46101</v>
      </c>
      <c r="G84">
        <v>5090.0219999999999</v>
      </c>
      <c r="H84">
        <v>0.21082899999999999</v>
      </c>
      <c r="J84" s="3">
        <f>(F84-A84)/365</f>
        <v>0.31232876712328766</v>
      </c>
      <c r="K84" s="3">
        <f>(LN(D84/G84)+H84^2*J84/2)/(H84*SQRT(J84))</f>
        <v>1.0009526316194866</v>
      </c>
      <c r="L84" s="3">
        <f>K84-H84*SQRT(J84)</f>
        <v>0.88312793172422599</v>
      </c>
      <c r="M84" s="3">
        <f>EXP(-E84*J84)*(D84*_xlfn.NORM.DIST(K84,0,1,TRUE)-G84*_xlfn.NORM.DIST(L84,0,1,TRUE))</f>
        <v>652.38324230123419</v>
      </c>
      <c r="N84" s="3">
        <f>EXP(-E84*J84)*(G84*_xlfn.NORM.DIST(-L84,0,1,TRUE)-D84*_xlfn.NORM.DIST(-K84,0,1,TRUE))</f>
        <v>58.489950796282926</v>
      </c>
      <c r="O84" s="3" t="b">
        <f>(M84-N84)=EXP(-E84*J84)*(D84-G84)</f>
        <v>1</v>
      </c>
    </row>
    <row r="85" spans="1:15" x14ac:dyDescent="0.3">
      <c r="A85" s="1">
        <v>45987</v>
      </c>
      <c r="B85" t="s">
        <v>16</v>
      </c>
      <c r="C85">
        <v>5655.58</v>
      </c>
      <c r="D85">
        <v>5687.53971</v>
      </c>
      <c r="E85" s="2">
        <v>1.9480319716066122E-2</v>
      </c>
      <c r="F85" s="1">
        <v>46101</v>
      </c>
      <c r="G85">
        <v>5372.8009999999995</v>
      </c>
      <c r="H85">
        <v>0.18251200000000001</v>
      </c>
      <c r="J85" s="3">
        <f>(F85-A85)/365</f>
        <v>0.31232876712328766</v>
      </c>
      <c r="K85" s="3">
        <f>(LN(D85/G85)+H85^2*J85/2)/(H85*SQRT(J85))</f>
        <v>0.60912470819528841</v>
      </c>
      <c r="L85" s="3">
        <f>K85-H85*SQRT(J85)</f>
        <v>0.50712535503569556</v>
      </c>
      <c r="M85" s="3">
        <f>EXP(-E85*J85)*(D85*_xlfn.NORM.DIST(K85,0,1,TRUE)-G85*_xlfn.NORM.DIST(L85,0,1,TRUE))</f>
        <v>413.88996577365282</v>
      </c>
      <c r="N85" s="3">
        <f>EXP(-E85*J85)*(G85*_xlfn.NORM.DIST(-L85,0,1,TRUE)-D85*_xlfn.NORM.DIST(-K85,0,1,TRUE))</f>
        <v>101.06039550715337</v>
      </c>
      <c r="O85" s="3" t="b">
        <f>(M85-N85)=EXP(-E85*J85)*(D85-G85)</f>
        <v>1</v>
      </c>
    </row>
    <row r="86" spans="1:15" x14ac:dyDescent="0.3">
      <c r="A86" s="1">
        <v>45987</v>
      </c>
      <c r="B86" t="s">
        <v>16</v>
      </c>
      <c r="C86">
        <v>5655.58</v>
      </c>
      <c r="D86">
        <v>5687.53971</v>
      </c>
      <c r="E86" s="2">
        <v>1.9480319716066122E-2</v>
      </c>
      <c r="F86" s="1">
        <v>46101</v>
      </c>
      <c r="G86">
        <v>5655.58</v>
      </c>
      <c r="H86">
        <v>0.158358</v>
      </c>
      <c r="J86" s="3">
        <f>(F86-A86)/365</f>
        <v>0.31232876712328766</v>
      </c>
      <c r="K86" s="3">
        <f>(LN(D86/G86)+H86^2*J86/2)/(H86*SQRT(J86))</f>
        <v>0.10792329955396147</v>
      </c>
      <c r="L86" s="3">
        <f>K86-H86*SQRT(J86)</f>
        <v>1.9422743055502178E-2</v>
      </c>
      <c r="M86" s="3">
        <f>EXP(-E86*J86)*(D86*_xlfn.NORM.DIST(K86,0,1,TRUE)-G86*_xlfn.NORM.DIST(L86,0,1,TRUE))</f>
        <v>215.24985316464438</v>
      </c>
      <c r="N86" s="3">
        <f>EXP(-E86*J86)*(G86*_xlfn.NORM.DIST(-L86,0,1,TRUE)-D86*_xlfn.NORM.DIST(-K86,0,1,TRUE))</f>
        <v>183.48400413659886</v>
      </c>
      <c r="O86" s="3" t="b">
        <f>(M86-N86)=EXP(-E86*J86)*(D86-G86)</f>
        <v>0</v>
      </c>
    </row>
    <row r="87" spans="1:15" x14ac:dyDescent="0.3">
      <c r="A87" s="1">
        <v>45987</v>
      </c>
      <c r="B87" t="s">
        <v>16</v>
      </c>
      <c r="C87">
        <v>5655.58</v>
      </c>
      <c r="D87">
        <v>5687.53971</v>
      </c>
      <c r="E87" s="2">
        <v>1.9480319716066122E-2</v>
      </c>
      <c r="F87" s="1">
        <v>46101</v>
      </c>
      <c r="G87">
        <v>5938.3590000000004</v>
      </c>
      <c r="H87">
        <v>0.142092</v>
      </c>
      <c r="J87" s="3">
        <f>(F87-A87)/365</f>
        <v>0.31232876712328766</v>
      </c>
      <c r="K87" s="3">
        <f>(LN(D87/G87)+H87^2*J87/2)/(H87*SQRT(J87))</f>
        <v>-0.50374067532616273</v>
      </c>
      <c r="L87" s="3">
        <f>K87-H87*SQRT(J87)</f>
        <v>-0.58315075296025176</v>
      </c>
      <c r="M87" s="3">
        <f>EXP(-E87*J87)*(D87*_xlfn.NORM.DIST(K87,0,1,TRUE)-G87*_xlfn.NORM.DIST(L87,0,1,TRUE))</f>
        <v>84.696961010216469</v>
      </c>
      <c r="N87" s="3">
        <f>EXP(-E87*J87)*(G87*_xlfn.NORM.DIST(-L87,0,1,TRUE)-D87*_xlfn.NORM.DIST(-K87,0,1,TRUE))</f>
        <v>333.99483322062355</v>
      </c>
      <c r="O87" s="3" t="b">
        <f>(M87-N87)=EXP(-E87*J87)*(D87-G87)</f>
        <v>1</v>
      </c>
    </row>
    <row r="88" spans="1:15" x14ac:dyDescent="0.3">
      <c r="A88" s="1">
        <v>45987</v>
      </c>
      <c r="B88" t="s">
        <v>16</v>
      </c>
      <c r="C88">
        <v>5655.58</v>
      </c>
      <c r="D88">
        <v>5687.53971</v>
      </c>
      <c r="E88" s="2">
        <v>1.9480319716066122E-2</v>
      </c>
      <c r="F88" s="1">
        <v>46101</v>
      </c>
      <c r="G88">
        <v>6221.1380000000008</v>
      </c>
      <c r="H88">
        <v>0.13288700000000001</v>
      </c>
      <c r="J88" s="3">
        <f>(F88-A88)/365</f>
        <v>0.31232876712328766</v>
      </c>
      <c r="K88" s="3">
        <f>(LN(D88/G88)+H88^2*J88/2)/(H88*SQRT(J88))</f>
        <v>-1.1703564343310058</v>
      </c>
      <c r="L88" s="3">
        <f>K88-H88*SQRT(J88)</f>
        <v>-1.2446221705199623</v>
      </c>
      <c r="M88" s="3">
        <f>EXP(-E88*J88)*(D88*_xlfn.NORM.DIST(K88,0,1,TRUE)-G88*_xlfn.NORM.DIST(L88,0,1,TRUE))</f>
        <v>24.246143367715266</v>
      </c>
      <c r="N88" s="3">
        <f>EXP(-E88*J88)*(G88*_xlfn.NORM.DIST(-L88,0,1,TRUE)-D88*_xlfn.NORM.DIST(-K88,0,1,TRUE))</f>
        <v>554.60773681657554</v>
      </c>
      <c r="O88" s="3" t="b">
        <f>(M88-N88)=EXP(-E88*J88)*(D88-G88)</f>
        <v>1</v>
      </c>
    </row>
    <row r="89" spans="1:15" x14ac:dyDescent="0.3">
      <c r="A89" s="1">
        <v>45987</v>
      </c>
      <c r="B89" t="s">
        <v>16</v>
      </c>
      <c r="C89">
        <v>5655.58</v>
      </c>
      <c r="D89">
        <v>5687.53971</v>
      </c>
      <c r="E89" s="2">
        <v>1.9480319716066122E-2</v>
      </c>
      <c r="F89" s="1">
        <v>46101</v>
      </c>
      <c r="G89">
        <v>6786.6959999999999</v>
      </c>
      <c r="H89">
        <v>0.132409</v>
      </c>
      <c r="J89" s="3">
        <f>(F89-A89)/365</f>
        <v>0.31232876712328766</v>
      </c>
      <c r="K89" s="3">
        <f>(LN(D89/G89)+H89^2*J89/2)/(H89*SQRT(J89))</f>
        <v>-2.3507007471739123</v>
      </c>
      <c r="L89" s="3">
        <f>K89-H89*SQRT(J89)</f>
        <v>-2.4246993464578419</v>
      </c>
      <c r="M89" s="3">
        <f>EXP(-E89*J89)*(D89*_xlfn.NORM.DIST(K89,0,1,TRUE)-G89*_xlfn.NORM.DIST(L89,0,1,TRUE))</f>
        <v>1.2892477040399293</v>
      </c>
      <c r="N89" s="3">
        <f>EXP(-E89*J89)*(G89*_xlfn.NORM.DIST(-L89,0,1,TRUE)-D89*_xlfn.NORM.DIST(-K89,0,1,TRUE))</f>
        <v>1093.7782836298045</v>
      </c>
      <c r="O89" s="3" t="b">
        <f>(M89-N89)=EXP(-E89*J89)*(D89-G89)</f>
        <v>1</v>
      </c>
    </row>
    <row r="90" spans="1:15" x14ac:dyDescent="0.3">
      <c r="A90" s="1">
        <v>45987</v>
      </c>
      <c r="B90" t="s">
        <v>16</v>
      </c>
      <c r="C90">
        <v>5655.58</v>
      </c>
      <c r="D90">
        <v>5687.53971</v>
      </c>
      <c r="E90" s="2">
        <v>1.9480319716066122E-2</v>
      </c>
      <c r="F90" s="1">
        <v>46101</v>
      </c>
      <c r="G90">
        <v>7352.2539999999999</v>
      </c>
      <c r="H90">
        <v>0.15357000000000001</v>
      </c>
      <c r="J90" s="3">
        <f>(F90-A90)/365</f>
        <v>0.31232876712328766</v>
      </c>
      <c r="K90" s="3">
        <f>(LN(D90/G90)+H90^2*J90/2)/(H90*SQRT(J90))</f>
        <v>-2.9484073571359541</v>
      </c>
      <c r="L90" s="3">
        <f>K90-H90*SQRT(J90)</f>
        <v>-3.034232073673599</v>
      </c>
      <c r="M90" s="3">
        <f>EXP(-E90*J90)*(D90*_xlfn.NORM.DIST(K90,0,1,TRUE)-G90*_xlfn.NORM.DIST(L90,0,1,TRUE))</f>
        <v>0.21718864078902517</v>
      </c>
      <c r="N90" s="3">
        <f>EXP(-E90*J90)*(G90*_xlfn.NORM.DIST(-L90,0,1,TRUE)-D90*_xlfn.NORM.DIST(-K90,0,1,TRUE))</f>
        <v>1654.8336670434578</v>
      </c>
      <c r="O90" s="3" t="b">
        <f>(M90-N90)=EXP(-E90*J90)*(D90-G90)</f>
        <v>1</v>
      </c>
    </row>
    <row r="91" spans="1:15" x14ac:dyDescent="0.3">
      <c r="A91" s="1">
        <v>45987</v>
      </c>
      <c r="B91" t="s">
        <v>16</v>
      </c>
      <c r="C91">
        <v>5655.58</v>
      </c>
      <c r="D91">
        <v>5687.53971</v>
      </c>
      <c r="E91" s="2">
        <v>1.9480319716066122E-2</v>
      </c>
      <c r="F91" s="1">
        <v>46101</v>
      </c>
      <c r="G91">
        <v>7917.8119999999999</v>
      </c>
      <c r="H91">
        <v>0.182252</v>
      </c>
      <c r="J91" s="3">
        <f>(F91-A91)/365</f>
        <v>0.31232876712328766</v>
      </c>
      <c r="K91" s="3">
        <f>(LN(D91/G91)+H91^2*J91/2)/(H91*SQRT(J91))</f>
        <v>-3.197222101418741</v>
      </c>
      <c r="L91" s="3">
        <f>K91-H91*SQRT(J91)</f>
        <v>-3.2990761499856411</v>
      </c>
      <c r="M91" s="3">
        <f>EXP(-E91*J91)*(D91*_xlfn.NORM.DIST(K91,0,1,TRUE)-G91*_xlfn.NORM.DIST(L91,0,1,TRUE))</f>
        <v>0.10503726442985629</v>
      </c>
      <c r="N91" s="3">
        <f>EXP(-E91*J91)*(G91*_xlfn.NORM.DIST(-L91,0,1,TRUE)-D91*_xlfn.NORM.DIST(-K91,0,1,TRUE))</f>
        <v>2216.848958144004</v>
      </c>
      <c r="O91" s="3" t="b">
        <f>(M91-N91)=EXP(-E91*J91)*(D91-G91)</f>
        <v>1</v>
      </c>
    </row>
    <row r="92" spans="1:15" x14ac:dyDescent="0.3">
      <c r="A92" s="1">
        <v>45987</v>
      </c>
      <c r="B92" t="s">
        <v>16</v>
      </c>
      <c r="C92">
        <v>5655.58</v>
      </c>
      <c r="D92">
        <v>5687.53971</v>
      </c>
      <c r="E92" s="2">
        <v>1.9480319716066122E-2</v>
      </c>
      <c r="F92" s="1">
        <v>46101</v>
      </c>
      <c r="G92">
        <v>8483.3700000000008</v>
      </c>
      <c r="H92">
        <v>0.20636599999999999</v>
      </c>
      <c r="J92" s="3">
        <f>(F92-A92)/365</f>
        <v>0.31232876712328766</v>
      </c>
      <c r="K92" s="3">
        <f>(LN(D92/G92)+H92^2*J92/2)/(H92*SQRT(J92))</f>
        <v>-3.40915439574401</v>
      </c>
      <c r="L92" s="3">
        <f>K92-H92*SQRT(J92)</f>
        <v>-3.5244848864193221</v>
      </c>
      <c r="M92" s="3">
        <f>EXP(-E92*J92)*(D92*_xlfn.NORM.DIST(K92,0,1,TRUE)-G92*_xlfn.NORM.DIST(L92,0,1,TRUE))</f>
        <v>5.3030547821341249E-2</v>
      </c>
      <c r="N92" s="3">
        <f>EXP(-E92*J92)*(G92*_xlfn.NORM.DIST(-L92,0,1,TRUE)-D92*_xlfn.NORM.DIST(-K92,0,1,TRUE))</f>
        <v>2778.9243939043026</v>
      </c>
      <c r="O92" s="3" t="b">
        <f>(M92-N92)=EXP(-E92*J92)*(D92-G92)</f>
        <v>1</v>
      </c>
    </row>
    <row r="93" spans="1:15" x14ac:dyDescent="0.3">
      <c r="A93" s="1">
        <v>45987</v>
      </c>
      <c r="B93" t="s">
        <v>16</v>
      </c>
      <c r="C93">
        <v>5655.58</v>
      </c>
      <c r="D93">
        <v>5628.0607600000003</v>
      </c>
      <c r="E93" s="2">
        <v>1.9281854560307093E-2</v>
      </c>
      <c r="F93" s="1">
        <v>46192</v>
      </c>
      <c r="G93">
        <v>2827.79</v>
      </c>
      <c r="H93">
        <v>0.43233500000000002</v>
      </c>
      <c r="J93" s="3">
        <f>(F93-A93)/365</f>
        <v>0.56164383561643838</v>
      </c>
      <c r="K93" s="3">
        <f>(LN(D93/G93)+H93^2*J93/2)/(H93*SQRT(J93))</f>
        <v>2.2862618335460283</v>
      </c>
      <c r="L93" s="3">
        <f>K93-H93*SQRT(J93)</f>
        <v>1.9622574440690608</v>
      </c>
      <c r="M93" s="3">
        <f>EXP(-E93*J93)*(D93*_xlfn.NORM.DIST(K93,0,1,TRUE)-G93*_xlfn.NORM.DIST(L93,0,1,TRUE))</f>
        <v>2777.7609181408316</v>
      </c>
      <c r="N93" s="3">
        <f>EXP(-E93*J93)*(G93*_xlfn.NORM.DIST(-L93,0,1,TRUE)-D93*_xlfn.NORM.DIST(-K93,0,1,TRUE))</f>
        <v>7.6521725825033009</v>
      </c>
      <c r="O93" s="3" t="b">
        <f>(M93-N93)=EXP(-E93*J93)*(D93-G93)</f>
        <v>1</v>
      </c>
    </row>
    <row r="94" spans="1:15" x14ac:dyDescent="0.3">
      <c r="A94" s="1">
        <v>45987</v>
      </c>
      <c r="B94" t="s">
        <v>16</v>
      </c>
      <c r="C94">
        <v>5655.58</v>
      </c>
      <c r="D94">
        <v>5628.0607600000003</v>
      </c>
      <c r="E94" s="2">
        <v>1.9281854560307093E-2</v>
      </c>
      <c r="F94" s="1">
        <v>46192</v>
      </c>
      <c r="G94">
        <v>3393.348</v>
      </c>
      <c r="H94">
        <v>0.36209400000000003</v>
      </c>
      <c r="J94" s="3">
        <f>(F94-A94)/365</f>
        <v>0.56164383561643838</v>
      </c>
      <c r="K94" s="3">
        <f>(LN(D94/G94)+H94^2*J94/2)/(H94*SQRT(J94))</f>
        <v>2.0001457040061936</v>
      </c>
      <c r="L94" s="3">
        <f>K94-H94*SQRT(J94)</f>
        <v>1.7287819573669601</v>
      </c>
      <c r="M94" s="3">
        <f>EXP(-E94*J94)*(D94*_xlfn.NORM.DIST(K94,0,1,TRUE)-G94*_xlfn.NORM.DIST(L94,0,1,TRUE))</f>
        <v>2224.7568270924057</v>
      </c>
      <c r="N94" s="3">
        <f>EXP(-E94*J94)*(G94*_xlfn.NORM.DIST(-L94,0,1,TRUE)-D94*_xlfn.NORM.DIST(-K94,0,1,TRUE))</f>
        <v>14.114396113056877</v>
      </c>
      <c r="O94" s="3" t="b">
        <f>(M94-N94)=EXP(-E94*J94)*(D94-G94)</f>
        <v>1</v>
      </c>
    </row>
    <row r="95" spans="1:15" x14ac:dyDescent="0.3">
      <c r="A95" s="1">
        <v>45987</v>
      </c>
      <c r="B95" t="s">
        <v>16</v>
      </c>
      <c r="C95">
        <v>5655.58</v>
      </c>
      <c r="D95">
        <v>5628.0607600000003</v>
      </c>
      <c r="E95" s="2">
        <v>1.9281854560307093E-2</v>
      </c>
      <c r="F95" s="1">
        <v>46192</v>
      </c>
      <c r="G95">
        <v>3958.9059999999999</v>
      </c>
      <c r="H95">
        <v>0.30032700000000001</v>
      </c>
      <c r="J95" s="3">
        <f>(F95-A95)/365</f>
        <v>0.56164383561643838</v>
      </c>
      <c r="K95" s="3">
        <f>(LN(D95/G95)+H95^2*J95/2)/(H95*SQRT(J95))</f>
        <v>1.675567609109641</v>
      </c>
      <c r="L95" s="3">
        <f>K95-H95*SQRT(J95)</f>
        <v>1.4504938439080051</v>
      </c>
      <c r="M95" s="3">
        <f>EXP(-E95*J95)*(D95*_xlfn.NORM.DIST(K95,0,1,TRUE)-G95*_xlfn.NORM.DIST(L95,0,1,TRUE))</f>
        <v>1677.6898105076673</v>
      </c>
      <c r="N95" s="3">
        <f>EXP(-E95*J95)*(G95*_xlfn.NORM.DIST(-L95,0,1,TRUE)-D95*_xlfn.NORM.DIST(-K95,0,1,TRUE))</f>
        <v>26.513694107297464</v>
      </c>
      <c r="O95" s="3" t="b">
        <f>(M95-N95)=EXP(-E95*J95)*(D95-G95)</f>
        <v>1</v>
      </c>
    </row>
    <row r="96" spans="1:15" x14ac:dyDescent="0.3">
      <c r="A96" s="1">
        <v>45987</v>
      </c>
      <c r="B96" t="s">
        <v>16</v>
      </c>
      <c r="C96">
        <v>5655.58</v>
      </c>
      <c r="D96">
        <v>5628.0607600000003</v>
      </c>
      <c r="E96" s="2">
        <v>1.9281854560307093E-2</v>
      </c>
      <c r="F96" s="1">
        <v>46192</v>
      </c>
      <c r="G96">
        <v>4524.4639999999999</v>
      </c>
      <c r="H96">
        <v>0.245418</v>
      </c>
      <c r="J96" s="3">
        <f>(F96-A96)/365</f>
        <v>0.56164383561643838</v>
      </c>
      <c r="K96" s="3">
        <f>(LN(D96/G96)+H96^2*J96/2)/(H96*SQRT(J96))</f>
        <v>1.2786832007419835</v>
      </c>
      <c r="L96" s="3">
        <f>K96-H96*SQRT(J96)</f>
        <v>1.0947598328521333</v>
      </c>
      <c r="M96" s="3">
        <f>EXP(-E96*J96)*(D96*_xlfn.NORM.DIST(K96,0,1,TRUE)-G96*_xlfn.NORM.DIST(L96,0,1,TRUE))</f>
        <v>1144.4868768509548</v>
      </c>
      <c r="N96" s="3">
        <f>EXP(-E96*J96)*(G96*_xlfn.NORM.DIST(-L96,0,1,TRUE)-D96*_xlfn.NORM.DIST(-K96,0,1,TRUE))</f>
        <v>52.77707502956374</v>
      </c>
      <c r="O96" s="3" t="b">
        <f>(M96-N96)=EXP(-E96*J96)*(D96-G96)</f>
        <v>1</v>
      </c>
    </row>
    <row r="97" spans="1:15" x14ac:dyDescent="0.3">
      <c r="A97" s="1">
        <v>45987</v>
      </c>
      <c r="B97" t="s">
        <v>16</v>
      </c>
      <c r="C97">
        <v>5655.58</v>
      </c>
      <c r="D97">
        <v>5628.0607600000003</v>
      </c>
      <c r="E97" s="2">
        <v>1.9281854560307093E-2</v>
      </c>
      <c r="F97" s="1">
        <v>46192</v>
      </c>
      <c r="G97">
        <v>5090.0219999999999</v>
      </c>
      <c r="H97">
        <v>0.19766600000000001</v>
      </c>
      <c r="J97" s="3">
        <f>(F97-A97)/365</f>
        <v>0.56164383561643838</v>
      </c>
      <c r="K97" s="3">
        <f>(LN(D97/G97)+H97^2*J97/2)/(H97*SQRT(J97))</f>
        <v>0.75237981741055437</v>
      </c>
      <c r="L97" s="3">
        <f>K97-H97*SQRT(J97)</f>
        <v>0.60424318343376726</v>
      </c>
      <c r="M97" s="3">
        <f>EXP(-E97*J97)*(D97*_xlfn.NORM.DIST(K97,0,1,TRUE)-G97*_xlfn.NORM.DIST(L97,0,1,TRUE))</f>
        <v>648.30365806042869</v>
      </c>
      <c r="N97" s="3">
        <f>EXP(-E97*J97)*(G97*_xlfn.NORM.DIST(-L97,0,1,TRUE)-D97*_xlfn.NORM.DIST(-K97,0,1,TRUE))</f>
        <v>116.06017081801627</v>
      </c>
      <c r="O97" s="3" t="b">
        <f>(M97-N97)=EXP(-E97*J97)*(D97-G97)</f>
        <v>1</v>
      </c>
    </row>
    <row r="98" spans="1:15" x14ac:dyDescent="0.3">
      <c r="A98" s="1">
        <v>45987</v>
      </c>
      <c r="B98" t="s">
        <v>16</v>
      </c>
      <c r="C98">
        <v>5655.58</v>
      </c>
      <c r="D98">
        <v>5628.0607600000003</v>
      </c>
      <c r="E98" s="2">
        <v>1.9281854560307093E-2</v>
      </c>
      <c r="F98" s="1">
        <v>46192</v>
      </c>
      <c r="G98">
        <v>5372.8009999999995</v>
      </c>
      <c r="H98">
        <v>0.17721000000000001</v>
      </c>
      <c r="J98" s="3">
        <f>(F98-A98)/365</f>
        <v>0.56164383561643838</v>
      </c>
      <c r="K98" s="3">
        <f>(LN(D98/G98)+H98^2*J98/2)/(H98*SQRT(J98))</f>
        <v>0.41590130757084248</v>
      </c>
      <c r="L98" s="3">
        <f>K98-H98*SQRT(J98)</f>
        <v>0.28309499334873828</v>
      </c>
      <c r="M98" s="3">
        <f>EXP(-E98*J98)*(D98*_xlfn.NORM.DIST(K98,0,1,TRUE)-G98*_xlfn.NORM.DIST(L98,0,1,TRUE))</f>
        <v>431.71613767316398</v>
      </c>
      <c r="N98" s="3">
        <f>EXP(-E98*J98)*(G98*_xlfn.NORM.DIST(-L98,0,1,TRUE)-D98*_xlfn.NORM.DIST(-K98,0,1,TRUE))</f>
        <v>179.20580772024039</v>
      </c>
      <c r="O98" s="3" t="b">
        <f>(M98-N98)=EXP(-E98*J98)*(D98-G98)</f>
        <v>0</v>
      </c>
    </row>
    <row r="99" spans="1:15" x14ac:dyDescent="0.3">
      <c r="A99" s="1">
        <v>45987</v>
      </c>
      <c r="B99" t="s">
        <v>16</v>
      </c>
      <c r="C99">
        <v>5655.58</v>
      </c>
      <c r="D99">
        <v>5628.0607600000003</v>
      </c>
      <c r="E99" s="2">
        <v>1.9281854560307093E-2</v>
      </c>
      <c r="F99" s="1">
        <v>46192</v>
      </c>
      <c r="G99">
        <v>5655.58</v>
      </c>
      <c r="H99">
        <v>0.15970100000000001</v>
      </c>
      <c r="J99" s="3">
        <f>(F99-A99)/365</f>
        <v>0.56164383561643838</v>
      </c>
      <c r="K99" s="3">
        <f>(LN(D99/G99)+H99^2*J99/2)/(H99*SQRT(J99))</f>
        <v>1.9087373756672903E-2</v>
      </c>
      <c r="L99" s="3">
        <f>K99-H99*SQRT(J99)</f>
        <v>-0.10059718799257525</v>
      </c>
      <c r="M99" s="3">
        <f>EXP(-E99*J99)*(D99*_xlfn.NORM.DIST(K99,0,1,TRUE)-G99*_xlfn.NORM.DIST(L99,0,1,TRUE))</f>
        <v>252.93027458379487</v>
      </c>
      <c r="N99" s="3">
        <f>EXP(-E99*J99)*(G99*_xlfn.NORM.DIST(-L99,0,1,TRUE)-D99*_xlfn.NORM.DIST(-K99,0,1,TRUE))</f>
        <v>280.15310192036196</v>
      </c>
      <c r="O99" s="3" t="b">
        <f>(M99-N99)=EXP(-E99*J99)*(D99-G99)</f>
        <v>1</v>
      </c>
    </row>
    <row r="100" spans="1:15" x14ac:dyDescent="0.3">
      <c r="A100" s="1">
        <v>45987</v>
      </c>
      <c r="B100" t="s">
        <v>16</v>
      </c>
      <c r="C100">
        <v>5655.58</v>
      </c>
      <c r="D100">
        <v>5628.0607600000003</v>
      </c>
      <c r="E100" s="2">
        <v>1.9281854560307093E-2</v>
      </c>
      <c r="F100" s="1">
        <v>46192</v>
      </c>
      <c r="G100">
        <v>5938.3590000000004</v>
      </c>
      <c r="H100">
        <v>0.14694599999999999</v>
      </c>
      <c r="J100" s="3">
        <f>(F100-A100)/365</f>
        <v>0.56164383561643838</v>
      </c>
      <c r="K100" s="3">
        <f>(LN(D100/G100)+H100^2*J100/2)/(H100*SQRT(J100))</f>
        <v>-0.43227075552396277</v>
      </c>
      <c r="L100" s="3">
        <f>K100-H100*SQRT(J100)</f>
        <v>-0.54239635029672573</v>
      </c>
      <c r="M100" s="3">
        <f>EXP(-E100*J100)*(D100*_xlfn.NORM.DIST(K100,0,1,TRUE)-G100*_xlfn.NORM.DIST(L100,0,1,TRUE))</f>
        <v>126.95249261253764</v>
      </c>
      <c r="N100" s="3">
        <f>EXP(-E100*J100)*(G100*_xlfn.NORM.DIST(-L100,0,1,TRUE)-D100*_xlfn.NORM.DIST(-K100,0,1,TRUE))</f>
        <v>433.90847723859497</v>
      </c>
      <c r="O100" s="3" t="b">
        <f>(M100-N100)=EXP(-E100*J100)*(D100-G100)</f>
        <v>1</v>
      </c>
    </row>
    <row r="101" spans="1:15" x14ac:dyDescent="0.3">
      <c r="A101" s="1">
        <v>45987</v>
      </c>
      <c r="B101" t="s">
        <v>16</v>
      </c>
      <c r="C101">
        <v>5655.58</v>
      </c>
      <c r="D101">
        <v>5628.0607600000003</v>
      </c>
      <c r="E101" s="2">
        <v>1.9281854560307093E-2</v>
      </c>
      <c r="F101" s="1">
        <v>46192</v>
      </c>
      <c r="G101">
        <v>6221.1380000000008</v>
      </c>
      <c r="H101">
        <v>0.138463</v>
      </c>
      <c r="J101" s="3">
        <f>(F101-A101)/365</f>
        <v>0.56164383561643838</v>
      </c>
      <c r="K101" s="3">
        <f>(LN(D101/G101)+H101^2*J101/2)/(H101*SQRT(J101))</f>
        <v>-0.91361327482181243</v>
      </c>
      <c r="L101" s="3">
        <f>K101-H101*SQRT(J101)</f>
        <v>-1.0173814633333818</v>
      </c>
      <c r="M101" s="3">
        <f>EXP(-E101*J101)*(D101*_xlfn.NORM.DIST(K101,0,1,TRUE)-G101*_xlfn.NORM.DIST(L101,0,1,TRUE))</f>
        <v>53.973692784420336</v>
      </c>
      <c r="N101" s="3">
        <f>EXP(-E101*J101)*(G101*_xlfn.NORM.DIST(-L101,0,1,TRUE)-D101*_xlfn.NORM.DIST(-K101,0,1,TRUE))</f>
        <v>640.66283469996756</v>
      </c>
      <c r="O101" s="3" t="b">
        <f>(M101-N101)=EXP(-E101*J101)*(D101-G101)</f>
        <v>1</v>
      </c>
    </row>
    <row r="102" spans="1:15" x14ac:dyDescent="0.3">
      <c r="A102" s="1">
        <v>45987</v>
      </c>
      <c r="B102" t="s">
        <v>16</v>
      </c>
      <c r="C102">
        <v>5655.58</v>
      </c>
      <c r="D102">
        <v>5628.0607600000003</v>
      </c>
      <c r="E102" s="2">
        <v>1.9281854560307093E-2</v>
      </c>
      <c r="F102" s="1">
        <v>46192</v>
      </c>
      <c r="G102">
        <v>6786.6959999999999</v>
      </c>
      <c r="H102">
        <v>0.13222100000000001</v>
      </c>
      <c r="J102" s="3">
        <f>(F102-A102)/365</f>
        <v>0.56164383561643838</v>
      </c>
      <c r="K102" s="3">
        <f>(LN(D102/G102)+H102^2*J102/2)/(H102*SQRT(J102))</f>
        <v>-1.8396345354279291</v>
      </c>
      <c r="L102" s="3">
        <f>K102-H102*SQRT(J102)</f>
        <v>-1.9387247880816216</v>
      </c>
      <c r="M102" s="3">
        <f>EXP(-E102*J102)*(D102*_xlfn.NORM.DIST(K102,0,1,TRUE)-G102*_xlfn.NORM.DIST(L102,0,1,TRUE))</f>
        <v>6.8808768151910149</v>
      </c>
      <c r="N102" s="3">
        <f>EXP(-E102*J102)*(G102*_xlfn.NORM.DIST(-L102,0,1,TRUE)-D102*_xlfn.NORM.DIST(-K102,0,1,TRUE))</f>
        <v>1153.0363333097164</v>
      </c>
      <c r="O102" s="3" t="b">
        <f>(M102-N102)=EXP(-E102*J102)*(D102-G102)</f>
        <v>1</v>
      </c>
    </row>
    <row r="103" spans="1:15" x14ac:dyDescent="0.3">
      <c r="A103" s="1">
        <v>45987</v>
      </c>
      <c r="B103" t="s">
        <v>16</v>
      </c>
      <c r="C103">
        <v>5655.58</v>
      </c>
      <c r="D103">
        <v>5628.0607600000003</v>
      </c>
      <c r="E103" s="2">
        <v>1.9281854560307093E-2</v>
      </c>
      <c r="F103" s="1">
        <v>46192</v>
      </c>
      <c r="G103">
        <v>7352.2539999999999</v>
      </c>
      <c r="H103">
        <v>0.14000599999999999</v>
      </c>
      <c r="J103" s="3">
        <f>(F103-A103)/365</f>
        <v>0.56164383561643838</v>
      </c>
      <c r="K103" s="3">
        <f>(LN(D103/G103)+H103^2*J103/2)/(H103*SQRT(J103))</f>
        <v>-2.4945296182337682</v>
      </c>
      <c r="L103" s="3">
        <f>K103-H103*SQRT(J103)</f>
        <v>-2.5994541757021952</v>
      </c>
      <c r="M103" s="3">
        <f>EXP(-E103*J103)*(D103*_xlfn.NORM.DIST(K103,0,1,TRUE)-G103*_xlfn.NORM.DIST(L103,0,1,TRUE))</f>
        <v>1.1543778032652894</v>
      </c>
      <c r="N103" s="3">
        <f>EXP(-E103*J103)*(G103*_xlfn.NORM.DIST(-L103,0,1,TRUE)-D103*_xlfn.NORM.DIST(-K103,0,1,TRUE))</f>
        <v>1706.7761488767708</v>
      </c>
      <c r="O103" s="3" t="b">
        <f>(M103-N103)=EXP(-E103*J103)*(D103-G103)</f>
        <v>0</v>
      </c>
    </row>
    <row r="104" spans="1:15" x14ac:dyDescent="0.3">
      <c r="A104" s="1">
        <v>45987</v>
      </c>
      <c r="B104" t="s">
        <v>16</v>
      </c>
      <c r="C104">
        <v>5655.58</v>
      </c>
      <c r="D104">
        <v>5628.0607600000003</v>
      </c>
      <c r="E104" s="2">
        <v>1.9281854560307093E-2</v>
      </c>
      <c r="F104" s="1">
        <v>46192</v>
      </c>
      <c r="G104">
        <v>7917.8119999999999</v>
      </c>
      <c r="H104">
        <v>0.15520700000000001</v>
      </c>
      <c r="J104" s="3">
        <f>(F104-A104)/365</f>
        <v>0.56164383561643838</v>
      </c>
      <c r="K104" s="3">
        <f>(LN(D104/G104)+H104^2*J104/2)/(H104*SQRT(J104))</f>
        <v>-2.8765035336050242</v>
      </c>
      <c r="L104" s="3">
        <f>K104-H104*SQRT(J104)</f>
        <v>-2.9928201613995626</v>
      </c>
      <c r="M104" s="3">
        <f>EXP(-E104*J104)*(D104*_xlfn.NORM.DIST(K104,0,1,TRUE)-G104*_xlfn.NORM.DIST(L104,0,1,TRUE))</f>
        <v>0.36850617773644023</v>
      </c>
      <c r="N104" s="3">
        <f>EXP(-E104*J104)*(G104*_xlfn.NORM.DIST(-L104,0,1,TRUE)-D104*_xlfn.NORM.DIST(-K104,0,1,TRUE))</f>
        <v>2265.4565918302196</v>
      </c>
      <c r="O104" s="3" t="b">
        <f>(M104-N104)=EXP(-E104*J104)*(D104-G104)</f>
        <v>1</v>
      </c>
    </row>
    <row r="105" spans="1:15" x14ac:dyDescent="0.3">
      <c r="A105" s="1">
        <v>45987</v>
      </c>
      <c r="B105" t="s">
        <v>16</v>
      </c>
      <c r="C105">
        <v>5655.58</v>
      </c>
      <c r="D105">
        <v>5628.0607600000003</v>
      </c>
      <c r="E105" s="2">
        <v>1.9281854560307093E-2</v>
      </c>
      <c r="F105" s="1">
        <v>46192</v>
      </c>
      <c r="G105">
        <v>8483.3700000000008</v>
      </c>
      <c r="H105">
        <v>0.173593</v>
      </c>
      <c r="J105" s="3">
        <f>(F105-A105)/365</f>
        <v>0.56164383561643838</v>
      </c>
      <c r="K105" s="3">
        <f>(LN(D105/G105)+H105^2*J105/2)/(H105*SQRT(J105))</f>
        <v>-3.0891153409492635</v>
      </c>
      <c r="L105" s="3">
        <f>K105-H105*SQRT(J105)</f>
        <v>-3.2192109704552605</v>
      </c>
      <c r="M105" s="3">
        <f>EXP(-E105*J105)*(D105*_xlfn.NORM.DIST(K105,0,1,TRUE)-G105*_xlfn.NORM.DIST(L105,0,1,TRUE))</f>
        <v>0.19471764714066297</v>
      </c>
      <c r="N105" s="3">
        <f>EXP(-E105*J105)*(G105*_xlfn.NORM.DIST(-L105,0,1,TRUE)-D105*_xlfn.NORM.DIST(-K105,0,1,TRUE))</f>
        <v>2824.7491178786036</v>
      </c>
      <c r="O105" s="3" t="b">
        <f>(M105-N105)=EXP(-E105*J105)*(D105-G105)</f>
        <v>1</v>
      </c>
    </row>
    <row r="106" spans="1:15" x14ac:dyDescent="0.3">
      <c r="A106" s="1">
        <v>45987</v>
      </c>
      <c r="B106" t="s">
        <v>16</v>
      </c>
      <c r="C106">
        <v>5655.58</v>
      </c>
      <c r="D106">
        <v>5647.6090899999999</v>
      </c>
      <c r="E106" s="2">
        <v>1.908111077219438E-2</v>
      </c>
      <c r="F106" s="1">
        <v>46283</v>
      </c>
      <c r="G106">
        <v>2827.79</v>
      </c>
      <c r="H106">
        <v>0.39115499999999997</v>
      </c>
      <c r="J106" s="3">
        <f>(F106-A106)/365</f>
        <v>0.81095890410958904</v>
      </c>
      <c r="K106" s="3">
        <f>(LN(D106/G106)+H106^2*J106/2)/(H106*SQRT(J106))</f>
        <v>2.1399027194543678</v>
      </c>
      <c r="L106" s="3">
        <f>K106-H106*SQRT(J106)</f>
        <v>1.7876549032351146</v>
      </c>
      <c r="M106" s="3">
        <f>EXP(-E106*J106)*(D106*_xlfn.NORM.DIST(K106,0,1,TRUE)-G106*_xlfn.NORM.DIST(L106,0,1,TRUE))</f>
        <v>2789.3259303233995</v>
      </c>
      <c r="N106" s="3">
        <f>EXP(-E106*J106)*(G106*_xlfn.NORM.DIST(-L106,0,1,TRUE)-D106*_xlfn.NORM.DIST(-K106,0,1,TRUE))</f>
        <v>12.804850973871664</v>
      </c>
      <c r="O106" s="3" t="b">
        <f>(M106-N106)=EXP(-E106*J106)*(D106-G106)</f>
        <v>1</v>
      </c>
    </row>
    <row r="107" spans="1:15" x14ac:dyDescent="0.3">
      <c r="A107" s="1">
        <v>45987</v>
      </c>
      <c r="B107" t="s">
        <v>16</v>
      </c>
      <c r="C107">
        <v>5655.58</v>
      </c>
      <c r="D107">
        <v>5647.6090899999999</v>
      </c>
      <c r="E107" s="2">
        <v>1.908111077219438E-2</v>
      </c>
      <c r="F107" s="1">
        <v>46283</v>
      </c>
      <c r="G107">
        <v>3393.348</v>
      </c>
      <c r="H107">
        <v>0.332625</v>
      </c>
      <c r="J107" s="3">
        <f>(F107-A107)/365</f>
        <v>0.81095890410958904</v>
      </c>
      <c r="K107" s="3">
        <f>(LN(D107/G107)+H107^2*J107/2)/(H107*SQRT(J107))</f>
        <v>1.8504303174441874</v>
      </c>
      <c r="L107" s="3">
        <f>K107-H107*SQRT(J107)</f>
        <v>1.5508906723676086</v>
      </c>
      <c r="M107" s="3">
        <f>EXP(-E107*J107)*(D107*_xlfn.NORM.DIST(K107,0,1,TRUE)-G107*_xlfn.NORM.DIST(L107,0,1,TRUE))</f>
        <v>2243.0239874464478</v>
      </c>
      <c r="N107" s="3">
        <f>EXP(-E107*J107)*(G107*_xlfn.NORM.DIST(-L107,0,1,TRUE)-D107*_xlfn.NORM.DIST(-K107,0,1,TRUE))</f>
        <v>23.376827478309753</v>
      </c>
      <c r="O107" s="3" t="b">
        <f>(M107-N107)=EXP(-E107*J107)*(D107-G107)</f>
        <v>1</v>
      </c>
    </row>
    <row r="108" spans="1:15" x14ac:dyDescent="0.3">
      <c r="A108" s="1">
        <v>45987</v>
      </c>
      <c r="B108" t="s">
        <v>16</v>
      </c>
      <c r="C108">
        <v>5655.58</v>
      </c>
      <c r="D108">
        <v>5647.6090899999999</v>
      </c>
      <c r="E108" s="2">
        <v>1.908111077219438E-2</v>
      </c>
      <c r="F108" s="1">
        <v>46283</v>
      </c>
      <c r="G108">
        <v>3958.9059999999999</v>
      </c>
      <c r="H108">
        <v>0.28142800000000001</v>
      </c>
      <c r="J108" s="3">
        <f>(F108-A108)/365</f>
        <v>0.81095890410958904</v>
      </c>
      <c r="K108" s="3">
        <f>(LN(D108/G108)+H108^2*J108/2)/(H108*SQRT(J108))</f>
        <v>1.5285146478528238</v>
      </c>
      <c r="L108" s="3">
        <f>K108-H108*SQRT(J108)</f>
        <v>1.2750795686055891</v>
      </c>
      <c r="M108" s="3">
        <f>EXP(-E108*J108)*(D108*_xlfn.NORM.DIST(K108,0,1,TRUE)-G108*_xlfn.NORM.DIST(L108,0,1,TRUE))</f>
        <v>1705.6248889891888</v>
      </c>
      <c r="N108" s="3">
        <f>EXP(-E108*J108)*(G108*_xlfn.NORM.DIST(-L108,0,1,TRUE)-D108*_xlfn.NORM.DIST(-K108,0,1,TRUE))</f>
        <v>42.85164840243899</v>
      </c>
      <c r="O108" s="3" t="b">
        <f>(M108-N108)=EXP(-E108*J108)*(D108-G108)</f>
        <v>1</v>
      </c>
    </row>
    <row r="109" spans="1:15" x14ac:dyDescent="0.3">
      <c r="A109" s="1">
        <v>45987</v>
      </c>
      <c r="B109" t="s">
        <v>16</v>
      </c>
      <c r="C109">
        <v>5655.58</v>
      </c>
      <c r="D109">
        <v>5647.6090899999999</v>
      </c>
      <c r="E109" s="2">
        <v>1.908111077219438E-2</v>
      </c>
      <c r="F109" s="1">
        <v>46283</v>
      </c>
      <c r="G109">
        <v>4524.4639999999999</v>
      </c>
      <c r="H109">
        <v>0.23636199999999999</v>
      </c>
      <c r="J109" s="3">
        <f>(F109-A109)/365</f>
        <v>0.81095890410958904</v>
      </c>
      <c r="K109" s="3">
        <f>(LN(D109/G109)+H109^2*J109/2)/(H109*SQRT(J109))</f>
        <v>1.1481520312653188</v>
      </c>
      <c r="L109" s="3">
        <f>K109-H109*SQRT(J109)</f>
        <v>0.93530035267955325</v>
      </c>
      <c r="M109" s="3">
        <f>EXP(-E109*J109)*(D109*_xlfn.NORM.DIST(K109,0,1,TRUE)-G109*_xlfn.NORM.DIST(L109,0,1,TRUE))</f>
        <v>1187.0766225862881</v>
      </c>
      <c r="N109" s="3">
        <f>EXP(-E109*J109)*(G109*_xlfn.NORM.DIST(-L109,0,1,TRUE)-D109*_xlfn.NORM.DIST(-K109,0,1,TRUE))</f>
        <v>81.177301380925755</v>
      </c>
      <c r="O109" s="3" t="b">
        <f>(M109-N109)=EXP(-E109*J109)*(D109-G109)</f>
        <v>1</v>
      </c>
    </row>
    <row r="110" spans="1:15" x14ac:dyDescent="0.3">
      <c r="A110" s="1">
        <v>45987</v>
      </c>
      <c r="B110" t="s">
        <v>16</v>
      </c>
      <c r="C110">
        <v>5655.58</v>
      </c>
      <c r="D110">
        <v>5647.6090899999999</v>
      </c>
      <c r="E110" s="2">
        <v>1.908111077219438E-2</v>
      </c>
      <c r="F110" s="1">
        <v>46283</v>
      </c>
      <c r="G110">
        <v>5090.0219999999999</v>
      </c>
      <c r="H110">
        <v>0.19678899999999999</v>
      </c>
      <c r="J110" s="3">
        <f>(F110-A110)/365</f>
        <v>0.81095890410958904</v>
      </c>
      <c r="K110" s="3">
        <f>(LN(D110/G110)+H110^2*J110/2)/(H110*SQRT(J110))</f>
        <v>0.67518415027296874</v>
      </c>
      <c r="L110" s="3">
        <f>K110-H110*SQRT(J110)</f>
        <v>0.49796924695850098</v>
      </c>
      <c r="M110" s="3">
        <f>EXP(-E110*J110)*(D110*_xlfn.NORM.DIST(K110,0,1,TRUE)-G110*_xlfn.NORM.DIST(L110,0,1,TRUE))</f>
        <v>709.96319951976875</v>
      </c>
      <c r="N110" s="3">
        <f>EXP(-E110*J110)*(G110*_xlfn.NORM.DIST(-L110,0,1,TRUE)-D110*_xlfn.NORM.DIST(-K110,0,1,TRUE))</f>
        <v>160.93779769579504</v>
      </c>
      <c r="O110" s="3" t="b">
        <f>(M110-N110)=EXP(-E110*J110)*(D110-G110)</f>
        <v>1</v>
      </c>
    </row>
    <row r="111" spans="1:15" x14ac:dyDescent="0.3">
      <c r="A111" s="1">
        <v>45987</v>
      </c>
      <c r="B111" t="s">
        <v>16</v>
      </c>
      <c r="C111">
        <v>5655.58</v>
      </c>
      <c r="D111">
        <v>5647.6090899999999</v>
      </c>
      <c r="E111" s="2">
        <v>1.908111077219438E-2</v>
      </c>
      <c r="F111" s="1">
        <v>46283</v>
      </c>
      <c r="G111">
        <v>5372.8009999999995</v>
      </c>
      <c r="H111">
        <v>0.17935799999999999</v>
      </c>
      <c r="J111" s="3">
        <f>(F111-A111)/365</f>
        <v>0.81095890410958904</v>
      </c>
      <c r="K111" s="3">
        <f>(LN(D111/G111)+H111^2*J111/2)/(H111*SQRT(J111))</f>
        <v>0.38959749163402152</v>
      </c>
      <c r="L111" s="3">
        <f>K111-H111*SQRT(J111)</f>
        <v>0.22807977149378852</v>
      </c>
      <c r="M111" s="3">
        <f>EXP(-E111*J111)*(D111*_xlfn.NORM.DIST(K111,0,1,TRUE)-G111*_xlfn.NORM.DIST(L111,0,1,TRUE))</f>
        <v>501.00314920292766</v>
      </c>
      <c r="N111" s="3">
        <f>EXP(-E111*J111)*(G111*_xlfn.NORM.DIST(-L111,0,1,TRUE)-D111*_xlfn.NORM.DIST(-K111,0,1,TRUE))</f>
        <v>230.41470706964748</v>
      </c>
      <c r="O111" s="3" t="b">
        <f>(M111-N111)=EXP(-E111*J111)*(D111-G111)</f>
        <v>1</v>
      </c>
    </row>
    <row r="112" spans="1:15" x14ac:dyDescent="0.3">
      <c r="A112" s="1">
        <v>45987</v>
      </c>
      <c r="B112" t="s">
        <v>16</v>
      </c>
      <c r="C112">
        <v>5655.58</v>
      </c>
      <c r="D112">
        <v>5647.6090899999999</v>
      </c>
      <c r="E112" s="2">
        <v>1.908111077219438E-2</v>
      </c>
      <c r="F112" s="1">
        <v>46283</v>
      </c>
      <c r="G112">
        <v>5655.58</v>
      </c>
      <c r="H112">
        <v>0.16419400000000001</v>
      </c>
      <c r="J112" s="3">
        <f>(F112-A112)/365</f>
        <v>0.81095890410958904</v>
      </c>
      <c r="K112" s="3">
        <f>(LN(D112/G112)+H112^2*J112/2)/(H112*SQRT(J112))</f>
        <v>6.4392517977454891E-2</v>
      </c>
      <c r="L112" s="3">
        <f>K112-H112*SQRT(J112)</f>
        <v>-8.3469526317783774E-2</v>
      </c>
      <c r="M112" s="3">
        <f>EXP(-E112*J112)*(D112*_xlfn.NORM.DIST(K112,0,1,TRUE)-G112*_xlfn.NORM.DIST(L112,0,1,TRUE))</f>
        <v>324.05149194534988</v>
      </c>
      <c r="N112" s="3">
        <f>EXP(-E112*J112)*(G112*_xlfn.NORM.DIST(-L112,0,1,TRUE)-D112*_xlfn.NORM.DIST(-K112,0,1,TRUE))</f>
        <v>331.90000950276544</v>
      </c>
      <c r="O112" s="3" t="b">
        <f>(M112-N112)=EXP(-E112*J112)*(D112-G112)</f>
        <v>0</v>
      </c>
    </row>
    <row r="113" spans="1:15" x14ac:dyDescent="0.3">
      <c r="A113" s="1">
        <v>45987</v>
      </c>
      <c r="B113" t="s">
        <v>16</v>
      </c>
      <c r="C113">
        <v>5655.58</v>
      </c>
      <c r="D113">
        <v>5647.6090899999999</v>
      </c>
      <c r="E113" s="2">
        <v>1.908111077219438E-2</v>
      </c>
      <c r="F113" s="1">
        <v>46283</v>
      </c>
      <c r="G113">
        <v>5938.3590000000004</v>
      </c>
      <c r="H113">
        <v>0.15256</v>
      </c>
      <c r="J113" s="3">
        <f>(F113-A113)/365</f>
        <v>0.81095890410958904</v>
      </c>
      <c r="K113" s="3">
        <f>(LN(D113/G113)+H113^2*J113/2)/(H113*SQRT(J113))</f>
        <v>-0.2967072092987853</v>
      </c>
      <c r="L113" s="3">
        <f>K113-H113*SQRT(J113)</f>
        <v>-0.43409245771030835</v>
      </c>
      <c r="M113" s="3">
        <f>EXP(-E113*J113)*(D113*_xlfn.NORM.DIST(K113,0,1,TRUE)-G113*_xlfn.NORM.DIST(L113,0,1,TRUE))</f>
        <v>189.83030277291758</v>
      </c>
      <c r="N113" s="3">
        <f>EXP(-E113*J113)*(G113*_xlfn.NORM.DIST(-L113,0,1,TRUE)-D113*_xlfn.NORM.DIST(-K113,0,1,TRUE))</f>
        <v>476.11578002102635</v>
      </c>
      <c r="O113" s="3" t="b">
        <f>(M113-N113)=EXP(-E113*J113)*(D113-G113)</f>
        <v>1</v>
      </c>
    </row>
    <row r="114" spans="1:15" x14ac:dyDescent="0.3">
      <c r="A114" s="1">
        <v>45987</v>
      </c>
      <c r="B114" t="s">
        <v>16</v>
      </c>
      <c r="C114">
        <v>5655.58</v>
      </c>
      <c r="D114">
        <v>5647.6090899999999</v>
      </c>
      <c r="E114" s="2">
        <v>1.908111077219438E-2</v>
      </c>
      <c r="F114" s="1">
        <v>46283</v>
      </c>
      <c r="G114">
        <v>6221.1380000000008</v>
      </c>
      <c r="H114">
        <v>0.14405100000000001</v>
      </c>
      <c r="J114" s="3">
        <f>(F114-A114)/365</f>
        <v>0.81095890410958904</v>
      </c>
      <c r="K114" s="3">
        <f>(LN(D114/G114)+H114^2*J114/2)/(H114*SQRT(J114))</f>
        <v>-0.68073390789128607</v>
      </c>
      <c r="L114" s="3">
        <f>K114-H114*SQRT(J114)</f>
        <v>-0.81045652469076368</v>
      </c>
      <c r="M114" s="3">
        <f>EXP(-E114*J114)*(D114*_xlfn.NORM.DIST(K114,0,1,TRUE)-G114*_xlfn.NORM.DIST(L114,0,1,TRUE))</f>
        <v>99.945329191798919</v>
      </c>
      <c r="N114" s="3">
        <f>EXP(-E114*J114)*(G114*_xlfn.NORM.DIST(-L114,0,1,TRUE)-D114*_xlfn.NORM.DIST(-K114,0,1,TRUE))</f>
        <v>664.66776613060347</v>
      </c>
      <c r="O114" s="3" t="b">
        <f>(M114-N114)=EXP(-E114*J114)*(D114-G114)</f>
        <v>0</v>
      </c>
    </row>
    <row r="115" spans="1:15" x14ac:dyDescent="0.3">
      <c r="A115" s="1">
        <v>45987</v>
      </c>
      <c r="B115" t="s">
        <v>16</v>
      </c>
      <c r="C115">
        <v>5655.58</v>
      </c>
      <c r="D115">
        <v>5647.6090899999999</v>
      </c>
      <c r="E115" s="2">
        <v>1.908111077219438E-2</v>
      </c>
      <c r="F115" s="1">
        <v>46283</v>
      </c>
      <c r="G115">
        <v>6786.6959999999999</v>
      </c>
      <c r="H115">
        <v>0.13483600000000001</v>
      </c>
      <c r="J115" s="3">
        <f>(F115-A115)/365</f>
        <v>0.81095890410958904</v>
      </c>
      <c r="K115" s="3">
        <f>(LN(D115/G115)+H115^2*J115/2)/(H115*SQRT(J115))</f>
        <v>-1.4524288146464843</v>
      </c>
      <c r="L115" s="3">
        <f>K115-H115*SQRT(J115)</f>
        <v>-1.5738530238416608</v>
      </c>
      <c r="M115" s="3">
        <f>EXP(-E115*J115)*(D115*_xlfn.NORM.DIST(K115,0,1,TRUE)-G115*_xlfn.NORM.DIST(L115,0,1,TRUE))</f>
        <v>21.023050356781084</v>
      </c>
      <c r="N115" s="3">
        <f>EXP(-E115*J115)*(G115*_xlfn.NORM.DIST(-L115,0,1,TRUE)-D115*_xlfn.NORM.DIST(-K115,0,1,TRUE))</f>
        <v>1142.6194066769724</v>
      </c>
      <c r="O115" s="3" t="b">
        <f>(M115-N115)=EXP(-E115*J115)*(D115-G115)</f>
        <v>1</v>
      </c>
    </row>
    <row r="116" spans="1:15" x14ac:dyDescent="0.3">
      <c r="A116" s="1">
        <v>45987</v>
      </c>
      <c r="B116" t="s">
        <v>16</v>
      </c>
      <c r="C116">
        <v>5655.58</v>
      </c>
      <c r="D116">
        <v>5647.6090899999999</v>
      </c>
      <c r="E116" s="2">
        <v>1.908111077219438E-2</v>
      </c>
      <c r="F116" s="1">
        <v>46283</v>
      </c>
      <c r="G116">
        <v>7352.2539999999999</v>
      </c>
      <c r="H116">
        <v>0.131131</v>
      </c>
      <c r="J116" s="3">
        <f>(F116-A116)/365</f>
        <v>0.81095890410958904</v>
      </c>
      <c r="K116" s="3">
        <f>(LN(D116/G116)+H116^2*J116/2)/(H116*SQRT(J116))</f>
        <v>-2.1746736715935069</v>
      </c>
      <c r="L116" s="3">
        <f>K116-H116*SQRT(J116)</f>
        <v>-2.2927614076281913</v>
      </c>
      <c r="M116" s="3">
        <f>EXP(-E116*J116)*(D116*_xlfn.NORM.DIST(K116,0,1,TRUE)-G116*_xlfn.NORM.DIST(L116,0,1,TRUE))</f>
        <v>3.320405041488919</v>
      </c>
      <c r="N116" s="3">
        <f>EXP(-E116*J116)*(G116*_xlfn.NORM.DIST(-L116,0,1,TRUE)-D116*_xlfn.NORM.DIST(-K116,0,1,TRUE))</f>
        <v>1681.7906807430684</v>
      </c>
      <c r="O116" s="3" t="b">
        <f>(M116-N116)=EXP(-E116*J116)*(D116-G116)</f>
        <v>1</v>
      </c>
    </row>
    <row r="117" spans="1:15" x14ac:dyDescent="0.3">
      <c r="A117" s="1">
        <v>45987</v>
      </c>
      <c r="B117" t="s">
        <v>16</v>
      </c>
      <c r="C117">
        <v>5655.58</v>
      </c>
      <c r="D117">
        <v>5647.6090899999999</v>
      </c>
      <c r="E117" s="2">
        <v>1.908111077219438E-2</v>
      </c>
      <c r="F117" s="1">
        <v>46283</v>
      </c>
      <c r="G117">
        <v>7917.8119999999999</v>
      </c>
      <c r="H117">
        <v>0.14497399999999999</v>
      </c>
      <c r="J117" s="3">
        <f>(F117-A117)/365</f>
        <v>0.81095890410958904</v>
      </c>
      <c r="K117" s="3">
        <f>(LN(D117/G117)+H117^2*J117/2)/(H117*SQRT(J117))</f>
        <v>-2.5227948157879192</v>
      </c>
      <c r="L117" s="3">
        <f>K117-H117*SQRT(J117)</f>
        <v>-2.6533486241466773</v>
      </c>
      <c r="M117" s="3">
        <f>EXP(-E117*J117)*(D117*_xlfn.NORM.DIST(K117,0,1,TRUE)-G117*_xlfn.NORM.DIST(L117,0,1,TRUE))</f>
        <v>1.3046746330685646</v>
      </c>
      <c r="N117" s="3">
        <f>EXP(-E117*J117)*(G117*_xlfn.NORM.DIST(-L117,0,1,TRUE)-D117*_xlfn.NORM.DIST(-K117,0,1,TRUE))</f>
        <v>2236.6488697160366</v>
      </c>
      <c r="O117" s="3" t="b">
        <f>(M117-N117)=EXP(-E117*J117)*(D117-G117)</f>
        <v>1</v>
      </c>
    </row>
    <row r="118" spans="1:15" x14ac:dyDescent="0.3">
      <c r="A118" s="1">
        <v>45987</v>
      </c>
      <c r="B118" t="s">
        <v>16</v>
      </c>
      <c r="C118">
        <v>5655.58</v>
      </c>
      <c r="D118">
        <v>5647.6090899999999</v>
      </c>
      <c r="E118" s="2">
        <v>1.908111077219438E-2</v>
      </c>
      <c r="F118" s="1">
        <v>46283</v>
      </c>
      <c r="G118">
        <v>8483.3700000000008</v>
      </c>
      <c r="H118">
        <v>0.15756899999999999</v>
      </c>
      <c r="J118" s="3">
        <f>(F118-A118)/365</f>
        <v>0.81095890410958904</v>
      </c>
      <c r="K118" s="3">
        <f>(LN(D118/G118)+H118^2*J118/2)/(H118*SQRT(J118))</f>
        <v>-2.7964721084239335</v>
      </c>
      <c r="L118" s="3">
        <f>K118-H118*SQRT(J118)</f>
        <v>-2.9383681244632314</v>
      </c>
      <c r="M118" s="3">
        <f>EXP(-E118*J118)*(D118*_xlfn.NORM.DIST(K118,0,1,TRUE)-G118*_xlfn.NORM.DIST(L118,0,1,TRUE))</f>
        <v>0.58452451866717203</v>
      </c>
      <c r="N118" s="3">
        <f>EXP(-E118*J118)*(G118*_xlfn.NORM.DIST(-L118,0,1,TRUE)-D118*_xlfn.NORM.DIST(-K118,0,1,TRUE))</f>
        <v>2792.8026389830243</v>
      </c>
      <c r="O118" s="3" t="b">
        <f>(M118-N118)=EXP(-E118*J118)*(D118-G118)</f>
        <v>1</v>
      </c>
    </row>
    <row r="119" spans="1:15" x14ac:dyDescent="0.3">
      <c r="A119" s="1">
        <v>45987</v>
      </c>
      <c r="B119" t="s">
        <v>16</v>
      </c>
      <c r="C119">
        <v>5655.58</v>
      </c>
      <c r="D119">
        <v>5655.5163400000001</v>
      </c>
      <c r="E119" s="2">
        <v>1.8968835937400248E-2</v>
      </c>
      <c r="F119" s="1">
        <v>46374</v>
      </c>
      <c r="G119">
        <v>2827.79</v>
      </c>
      <c r="H119">
        <v>0.36829099999999998</v>
      </c>
      <c r="J119" s="3">
        <f>(F119-A119)/365</f>
        <v>1.0602739726027397</v>
      </c>
      <c r="K119" s="3">
        <f>(LN(D119/G119)+H119^2*J119/2)/(H119*SQRT(J119))</f>
        <v>2.0173700377395734</v>
      </c>
      <c r="L119" s="3">
        <f>K119-H119*SQRT(J119)</f>
        <v>1.6381422467099997</v>
      </c>
      <c r="M119" s="3">
        <f>EXP(-E119*J119)*(D119*_xlfn.NORM.DIST(K119,0,1,TRUE)-G119*_xlfn.NORM.DIST(L119,0,1,TRUE))</f>
        <v>2790.9328621069521</v>
      </c>
      <c r="N119" s="3">
        <f>EXP(-E119*J119)*(G119*_xlfn.NORM.DIST(-L119,0,1,TRUE)-D119*_xlfn.NORM.DIST(-K119,0,1,TRUE))</f>
        <v>19.51012378363323</v>
      </c>
      <c r="O119" s="3" t="b">
        <f>(M119-N119)=EXP(-E119*J119)*(D119-G119)</f>
        <v>1</v>
      </c>
    </row>
    <row r="120" spans="1:15" x14ac:dyDescent="0.3">
      <c r="A120" s="1">
        <v>45987</v>
      </c>
      <c r="B120" t="s">
        <v>16</v>
      </c>
      <c r="C120">
        <v>5655.58</v>
      </c>
      <c r="D120">
        <v>5655.5163400000001</v>
      </c>
      <c r="E120" s="2">
        <v>1.8968835937400248E-2</v>
      </c>
      <c r="F120" s="1">
        <v>46374</v>
      </c>
      <c r="G120">
        <v>3393.348</v>
      </c>
      <c r="H120">
        <v>0.316436</v>
      </c>
      <c r="J120" s="3">
        <f>(F120-A120)/365</f>
        <v>1.0602739726027397</v>
      </c>
      <c r="K120" s="3">
        <f>(LN(D120/G120)+H120^2*J120/2)/(H120*SQRT(J120))</f>
        <v>1.7306352557462259</v>
      </c>
      <c r="L120" s="3">
        <f>K120-H120*SQRT(J120)</f>
        <v>1.4048023538229257</v>
      </c>
      <c r="M120" s="3">
        <f>EXP(-E120*J120)*(D120*_xlfn.NORM.DIST(K120,0,1,TRUE)-G120*_xlfn.NORM.DIST(L120,0,1,TRUE))</f>
        <v>2251.8583407548163</v>
      </c>
      <c r="N120" s="3">
        <f>EXP(-E120*J120)*(G120*_xlfn.NORM.DIST(-L120,0,1,TRUE)-D120*_xlfn.NORM.DIST(-K120,0,1,TRUE))</f>
        <v>34.732628585965813</v>
      </c>
      <c r="O120" s="3" t="b">
        <f>(M120-N120)=EXP(-E120*J120)*(D120-G120)</f>
        <v>1</v>
      </c>
    </row>
    <row r="121" spans="1:15" x14ac:dyDescent="0.3">
      <c r="A121" s="1">
        <v>45987</v>
      </c>
      <c r="B121" t="s">
        <v>16</v>
      </c>
      <c r="C121">
        <v>5655.58</v>
      </c>
      <c r="D121">
        <v>5655.5163400000001</v>
      </c>
      <c r="E121" s="2">
        <v>1.8968835937400248E-2</v>
      </c>
      <c r="F121" s="1">
        <v>46374</v>
      </c>
      <c r="G121">
        <v>3958.9059999999999</v>
      </c>
      <c r="H121">
        <v>0.27122299999999999</v>
      </c>
      <c r="J121" s="3">
        <f>(F121-A121)/365</f>
        <v>1.0602739726027397</v>
      </c>
      <c r="K121" s="3">
        <f>(LN(D121/G121)+H121^2*J121/2)/(H121*SQRT(J121))</f>
        <v>1.4167339957969638</v>
      </c>
      <c r="L121" s="3">
        <f>K121-H121*SQRT(J121)</f>
        <v>1.1374567417603081</v>
      </c>
      <c r="M121" s="3">
        <f>EXP(-E121*J121)*(D121*_xlfn.NORM.DIST(K121,0,1,TRUE)-G121*_xlfn.NORM.DIST(L121,0,1,TRUE))</f>
        <v>1724.3119425989396</v>
      </c>
      <c r="N121" s="3">
        <f>EXP(-E121*J121)*(G121*_xlfn.NORM.DIST(-L121,0,1,TRUE)-D121*_xlfn.NORM.DIST(-K121,0,1,TRUE))</f>
        <v>61.483256584557374</v>
      </c>
      <c r="O121" s="3" t="b">
        <f>(M121-N121)=EXP(-E121*J121)*(D121-G121)</f>
        <v>1</v>
      </c>
    </row>
    <row r="122" spans="1:15" x14ac:dyDescent="0.3">
      <c r="A122" s="1">
        <v>45987</v>
      </c>
      <c r="B122" t="s">
        <v>16</v>
      </c>
      <c r="C122">
        <v>5655.58</v>
      </c>
      <c r="D122">
        <v>5655.5163400000001</v>
      </c>
      <c r="E122" s="2">
        <v>1.8968835937400248E-2</v>
      </c>
      <c r="F122" s="1">
        <v>46374</v>
      </c>
      <c r="G122">
        <v>4524.4639999999999</v>
      </c>
      <c r="H122">
        <v>0.23155300000000001</v>
      </c>
      <c r="J122" s="3">
        <f>(F122-A122)/365</f>
        <v>1.0602739726027397</v>
      </c>
      <c r="K122" s="3">
        <f>(LN(D122/G122)+H122^2*J122/2)/(H122*SQRT(J122))</f>
        <v>1.0550575496056473</v>
      </c>
      <c r="L122" s="3">
        <f>K122-H122*SQRT(J122)</f>
        <v>0.8166283382041446</v>
      </c>
      <c r="M122" s="3">
        <f>EXP(-E122*J122)*(D122*_xlfn.NORM.DIST(K122,0,1,TRUE)-G122*_xlfn.NORM.DIST(L122,0,1,TRUE))</f>
        <v>1219.1609187785889</v>
      </c>
      <c r="N122" s="3">
        <f>EXP(-E122*J122)*(G122*_xlfn.NORM.DIST(-L122,0,1,TRUE)-D122*_xlfn.NORM.DIST(-K122,0,1,TRUE))</f>
        <v>110.62925891867533</v>
      </c>
      <c r="O122" s="3" t="b">
        <f>(M122-N122)=EXP(-E122*J122)*(D122-G122)</f>
        <v>1</v>
      </c>
    </row>
    <row r="123" spans="1:15" x14ac:dyDescent="0.3">
      <c r="A123" s="1">
        <v>45987</v>
      </c>
      <c r="B123" t="s">
        <v>16</v>
      </c>
      <c r="C123">
        <v>5655.58</v>
      </c>
      <c r="D123">
        <v>5655.5163400000001</v>
      </c>
      <c r="E123" s="2">
        <v>1.8968835937400248E-2</v>
      </c>
      <c r="F123" s="1">
        <v>46374</v>
      </c>
      <c r="G123">
        <v>5090.0219999999999</v>
      </c>
      <c r="H123">
        <v>0.197376</v>
      </c>
      <c r="J123" s="3">
        <f>(F123-A123)/365</f>
        <v>1.0602739726027397</v>
      </c>
      <c r="K123" s="3">
        <f>(LN(D123/G123)+H123^2*J123/2)/(H123*SQRT(J123))</f>
        <v>0.61997460114216563</v>
      </c>
      <c r="L123" s="3">
        <f>K123-H123*SQRT(J123)</f>
        <v>0.41673731192724295</v>
      </c>
      <c r="M123" s="3">
        <f>EXP(-E123*J123)*(D123*_xlfn.NORM.DIST(K123,0,1,TRUE)-G123*_xlfn.NORM.DIST(L123,0,1,TRUE))</f>
        <v>759.08901233866538</v>
      </c>
      <c r="N123" s="3">
        <f>EXP(-E123*J123)*(G123*_xlfn.NORM.DIST(-L123,0,1,TRUE)-D123*_xlfn.NORM.DIST(-K123,0,1,TRUE))</f>
        <v>204.8543786332207</v>
      </c>
      <c r="O123" s="3" t="b">
        <f>(M123-N123)=EXP(-E123*J123)*(D123-G123)</f>
        <v>1</v>
      </c>
    </row>
    <row r="124" spans="1:15" x14ac:dyDescent="0.3">
      <c r="A124" s="1">
        <v>45987</v>
      </c>
      <c r="B124" t="s">
        <v>16</v>
      </c>
      <c r="C124">
        <v>5655.58</v>
      </c>
      <c r="D124">
        <v>5655.5163400000001</v>
      </c>
      <c r="E124" s="2">
        <v>1.8968835937400248E-2</v>
      </c>
      <c r="F124" s="1">
        <v>46374</v>
      </c>
      <c r="G124">
        <v>5372.8009999999995</v>
      </c>
      <c r="H124">
        <v>0.18215100000000001</v>
      </c>
      <c r="J124" s="3">
        <f>(F124-A124)/365</f>
        <v>1.0602739726027397</v>
      </c>
      <c r="K124" s="3">
        <f>(LN(D124/G124)+H124^2*J124/2)/(H124*SQRT(J124))</f>
        <v>0.36719655061903855</v>
      </c>
      <c r="L124" s="3">
        <f>K124-H124*SQRT(J124)</f>
        <v>0.17963638389265141</v>
      </c>
      <c r="M124" s="3">
        <f>EXP(-E124*J124)*(D124*_xlfn.NORM.DIST(K124,0,1,TRUE)-G124*_xlfn.NORM.DIST(L124,0,1,TRUE))</f>
        <v>557.28813398612306</v>
      </c>
      <c r="N124" s="3">
        <f>EXP(-E124*J124)*(G124*_xlfn.NORM.DIST(-L124,0,1,TRUE)-D124*_xlfn.NORM.DIST(-K124,0,1,TRUE))</f>
        <v>280.20201335791171</v>
      </c>
      <c r="O124" s="3" t="b">
        <f>(M124-N124)=EXP(-E124*J124)*(D124-G124)</f>
        <v>1</v>
      </c>
    </row>
    <row r="125" spans="1:15" x14ac:dyDescent="0.3">
      <c r="A125" s="1">
        <v>45987</v>
      </c>
      <c r="B125" t="s">
        <v>16</v>
      </c>
      <c r="C125">
        <v>5655.58</v>
      </c>
      <c r="D125">
        <v>5655.5163400000001</v>
      </c>
      <c r="E125" s="2">
        <v>1.8968835937400248E-2</v>
      </c>
      <c r="F125" s="1">
        <v>46374</v>
      </c>
      <c r="G125">
        <v>5655.58</v>
      </c>
      <c r="H125">
        <v>0.168519</v>
      </c>
      <c r="J125" s="3">
        <f>(F125-A125)/365</f>
        <v>1.0602739726027397</v>
      </c>
      <c r="K125" s="3">
        <f>(LN(D125/G125)+H125^2*J125/2)/(H125*SQRT(J125))</f>
        <v>8.6696806507099697E-2</v>
      </c>
      <c r="L125" s="3">
        <f>K125-H125*SQRT(J125)</f>
        <v>-8.6826543551719829E-2</v>
      </c>
      <c r="M125" s="3">
        <f>EXP(-E125*J125)*(D125*_xlfn.NORM.DIST(K125,0,1,TRUE)-G125*_xlfn.NORM.DIST(L125,0,1,TRUE))</f>
        <v>383.20233689212142</v>
      </c>
      <c r="N125" s="3">
        <f>EXP(-E125*J125)*(G125*_xlfn.NORM.DIST(-L125,0,1,TRUE)-D125*_xlfn.NORM.DIST(-K125,0,1,TRUE))</f>
        <v>383.26472934114503</v>
      </c>
      <c r="O125" s="3" t="b">
        <f>(M125-N125)=EXP(-E125*J125)*(D125-G125)</f>
        <v>0</v>
      </c>
    </row>
    <row r="126" spans="1:15" x14ac:dyDescent="0.3">
      <c r="A126" s="1">
        <v>45987</v>
      </c>
      <c r="B126" t="s">
        <v>16</v>
      </c>
      <c r="C126">
        <v>5655.58</v>
      </c>
      <c r="D126">
        <v>5655.5163400000001</v>
      </c>
      <c r="E126" s="2">
        <v>1.8968835937400248E-2</v>
      </c>
      <c r="F126" s="1">
        <v>46374</v>
      </c>
      <c r="G126">
        <v>5938.3590000000004</v>
      </c>
      <c r="H126">
        <v>0.157555</v>
      </c>
      <c r="J126" s="3">
        <f>(F126-A126)/365</f>
        <v>1.0602739726027397</v>
      </c>
      <c r="K126" s="3">
        <f>(LN(D126/G126)+H126^2*J126/2)/(H126*SQRT(J126))</f>
        <v>-0.21969239315921021</v>
      </c>
      <c r="L126" s="3">
        <f>K126-H126*SQRT(J126)</f>
        <v>-0.38192615563416743</v>
      </c>
      <c r="M126" s="3">
        <f>EXP(-E126*J126)*(D126*_xlfn.NORM.DIST(K126,0,1,TRUE)-G126*_xlfn.NORM.DIST(L126,0,1,TRUE))</f>
        <v>245.16414642195824</v>
      </c>
      <c r="N126" s="3">
        <f>EXP(-E126*J126)*(G126*_xlfn.NORM.DIST(-L126,0,1,TRUE)-D126*_xlfn.NORM.DIST(-K126,0,1,TRUE))</f>
        <v>522.37505194821654</v>
      </c>
      <c r="O126" s="3" t="b">
        <f>(M126-N126)=EXP(-E126*J126)*(D126-G126)</f>
        <v>1</v>
      </c>
    </row>
    <row r="127" spans="1:15" x14ac:dyDescent="0.3">
      <c r="A127" s="1">
        <v>45987</v>
      </c>
      <c r="B127" t="s">
        <v>16</v>
      </c>
      <c r="C127">
        <v>5655.58</v>
      </c>
      <c r="D127">
        <v>5655.5163400000001</v>
      </c>
      <c r="E127" s="2">
        <v>1.8968835937400248E-2</v>
      </c>
      <c r="F127" s="1">
        <v>46374</v>
      </c>
      <c r="G127">
        <v>6221.1380000000008</v>
      </c>
      <c r="H127">
        <v>0.14918999999999999</v>
      </c>
      <c r="J127" s="3">
        <f>(F127-A127)/365</f>
        <v>1.0602739726027397</v>
      </c>
      <c r="K127" s="3">
        <f>(LN(D127/G127)+H127^2*J127/2)/(H127*SQRT(J127))</f>
        <v>-0.54368986004219388</v>
      </c>
      <c r="L127" s="3">
        <f>K127-H127*SQRT(J127)</f>
        <v>-0.69731021498896717</v>
      </c>
      <c r="M127" s="3">
        <f>EXP(-E127*J127)*(D127*_xlfn.NORM.DIST(K127,0,1,TRUE)-G127*_xlfn.NORM.DIST(L127,0,1,TRUE))</f>
        <v>145.4441126777416</v>
      </c>
      <c r="N127" s="3">
        <f>EXP(-E127*J127)*(G127*_xlfn.NORM.DIST(-L127,0,1,TRUE)-D127*_xlfn.NORM.DIST(-K127,0,1,TRUE))</f>
        <v>699.80353128123397</v>
      </c>
      <c r="O127" s="3" t="b">
        <f>(M127-N127)=EXP(-E127*J127)*(D127-G127)</f>
        <v>0</v>
      </c>
    </row>
    <row r="128" spans="1:15" x14ac:dyDescent="0.3">
      <c r="A128" s="1">
        <v>45987</v>
      </c>
      <c r="B128" t="s">
        <v>16</v>
      </c>
      <c r="C128">
        <v>5655.58</v>
      </c>
      <c r="D128">
        <v>5655.5163400000001</v>
      </c>
      <c r="E128" s="2">
        <v>1.8968835937400248E-2</v>
      </c>
      <c r="F128" s="1">
        <v>46374</v>
      </c>
      <c r="G128">
        <v>6786.6959999999999</v>
      </c>
      <c r="H128">
        <v>0.13816999999999999</v>
      </c>
      <c r="J128" s="3">
        <f>(F128-A128)/365</f>
        <v>1.0602739726027397</v>
      </c>
      <c r="K128" s="3">
        <f>(LN(D128/G128)+H128^2*J128/2)/(H128*SQRT(J128))</f>
        <v>-1.2104325383763761</v>
      </c>
      <c r="L128" s="3">
        <f>K128-H128*SQRT(J128)</f>
        <v>-1.3527056427600188</v>
      </c>
      <c r="M128" s="3">
        <f>EXP(-E128*J128)*(D128*_xlfn.NORM.DIST(K128,0,1,TRUE)-G128*_xlfn.NORM.DIST(L128,0,1,TRUE))</f>
        <v>40.826173621166049</v>
      </c>
      <c r="N128" s="3">
        <f>EXP(-E128*J128)*(G128*_xlfn.NORM.DIST(-L128,0,1,TRUE)-D128*_xlfn.NORM.DIST(-K128,0,1,TRUE))</f>
        <v>1149.4826183791265</v>
      </c>
      <c r="O128" s="3" t="b">
        <f>(M128-N128)=EXP(-E128*J128)*(D128-G128)</f>
        <v>1</v>
      </c>
    </row>
    <row r="129" spans="1:15" x14ac:dyDescent="0.3">
      <c r="A129" s="1">
        <v>45987</v>
      </c>
      <c r="B129" t="s">
        <v>16</v>
      </c>
      <c r="C129">
        <v>5655.58</v>
      </c>
      <c r="D129">
        <v>5655.5163400000001</v>
      </c>
      <c r="E129" s="2">
        <v>1.8968835937400248E-2</v>
      </c>
      <c r="F129" s="1">
        <v>46374</v>
      </c>
      <c r="G129">
        <v>7352.2539999999999</v>
      </c>
      <c r="H129">
        <v>0.13514899999999999</v>
      </c>
      <c r="J129" s="3">
        <f>(F129-A129)/365</f>
        <v>1.0602739726027397</v>
      </c>
      <c r="K129" s="3">
        <f>(LN(D129/G129)+H129^2*J129/2)/(H129*SQRT(J129))</f>
        <v>-1.8158097903431329</v>
      </c>
      <c r="L129" s="3">
        <f>K129-H129*SQRT(J129)</f>
        <v>-1.9549721829344693</v>
      </c>
      <c r="M129" s="3">
        <f>EXP(-E129*J129)*(D129*_xlfn.NORM.DIST(K129,0,1,TRUE)-G129*_xlfn.NORM.DIST(L129,0,1,TRUE))</f>
        <v>10.078544584822872</v>
      </c>
      <c r="N129" s="3">
        <f>EXP(-E129*J129)*(G129*_xlfn.NORM.DIST(-L129,0,1,TRUE)-D129*_xlfn.NORM.DIST(-K129,0,1,TRUE))</f>
        <v>1673.0320154972517</v>
      </c>
      <c r="O129" s="3" t="b">
        <f>(M129-N129)=EXP(-E129*J129)*(D129-G129)</f>
        <v>1</v>
      </c>
    </row>
    <row r="130" spans="1:15" x14ac:dyDescent="0.3">
      <c r="A130" s="1">
        <v>45987</v>
      </c>
      <c r="B130" t="s">
        <v>16</v>
      </c>
      <c r="C130">
        <v>5655.58</v>
      </c>
      <c r="D130">
        <v>5655.5163400000001</v>
      </c>
      <c r="E130" s="2">
        <v>1.8968835937400248E-2</v>
      </c>
      <c r="F130" s="1">
        <v>46374</v>
      </c>
      <c r="G130">
        <v>7917.8119999999999</v>
      </c>
      <c r="H130">
        <v>0.136213</v>
      </c>
      <c r="J130" s="3">
        <f>(F130-A130)/365</f>
        <v>1.0602739726027397</v>
      </c>
      <c r="K130" s="3">
        <f>(LN(D130/G130)+H130^2*J130/2)/(H130*SQRT(J130))</f>
        <v>-2.3289036362689104</v>
      </c>
      <c r="L130" s="3">
        <f>K130-H130*SQRT(J130)</f>
        <v>-2.469161625466342</v>
      </c>
      <c r="M130" s="3">
        <f>EXP(-E130*J130)*(D130*_xlfn.NORM.DIST(K130,0,1,TRUE)-G130*_xlfn.NORM.DIST(L130,0,1,TRUE))</f>
        <v>2.5047100837497576</v>
      </c>
      <c r="N130" s="3">
        <f>EXP(-E130*J130)*(G130*_xlfn.NORM.DIST(-L130,0,1,TRUE)-D130*_xlfn.NORM.DIST(-K130,0,1,TRUE))</f>
        <v>2219.7552071506479</v>
      </c>
      <c r="O130" s="3" t="b">
        <f>(M130-N130)=EXP(-E130*J130)*(D130-G130)</f>
        <v>1</v>
      </c>
    </row>
    <row r="131" spans="1:15" x14ac:dyDescent="0.3">
      <c r="A131" s="1">
        <v>45987</v>
      </c>
      <c r="B131" t="s">
        <v>16</v>
      </c>
      <c r="C131">
        <v>5655.58</v>
      </c>
      <c r="D131">
        <v>5655.5163400000001</v>
      </c>
      <c r="E131" s="2">
        <v>1.8968835937400248E-2</v>
      </c>
      <c r="F131" s="1">
        <v>46374</v>
      </c>
      <c r="G131">
        <v>8483.3700000000008</v>
      </c>
      <c r="H131">
        <v>0.147401</v>
      </c>
      <c r="J131" s="3">
        <f>(F131-A131)/365</f>
        <v>1.0602739726027397</v>
      </c>
      <c r="K131" s="3">
        <f>(LN(D131/G131)+H131^2*J131/2)/(H131*SQRT(J131))</f>
        <v>-2.5956163300665906</v>
      </c>
      <c r="L131" s="3">
        <f>K131-H131*SQRT(J131)</f>
        <v>-2.7473945587649573</v>
      </c>
      <c r="M131" s="3">
        <f>EXP(-E131*J131)*(D131*_xlfn.NORM.DIST(K131,0,1,TRUE)-G131*_xlfn.NORM.DIST(L131,0,1,TRUE))</f>
        <v>1.195657548783897</v>
      </c>
      <c r="N131" s="3">
        <f>EXP(-E131*J131)*(G131*_xlfn.NORM.DIST(-L131,0,1,TRUE)-D131*_xlfn.NORM.DIST(-K131,0,1,TRUE))</f>
        <v>2772.7431807701514</v>
      </c>
      <c r="O131" s="3" t="b">
        <f>(M131-N131)=EXP(-E131*J131)*(D131-G131)</f>
        <v>1</v>
      </c>
    </row>
    <row r="132" spans="1:15" x14ac:dyDescent="0.3">
      <c r="A132" s="1">
        <v>45987</v>
      </c>
      <c r="B132" t="s">
        <v>16</v>
      </c>
      <c r="C132">
        <v>5655.58</v>
      </c>
      <c r="D132">
        <v>5620.0390100000004</v>
      </c>
      <c r="E132" s="2">
        <v>1.8999741235304162E-2</v>
      </c>
      <c r="F132" s="1">
        <v>46556</v>
      </c>
      <c r="G132">
        <v>2827.79</v>
      </c>
      <c r="H132">
        <v>0.335675</v>
      </c>
      <c r="J132" s="3">
        <f>(F132-A132)/365</f>
        <v>1.558904109589041</v>
      </c>
      <c r="K132" s="3">
        <f>(LN(D132/G132)+H132^2*J132/2)/(H132*SQRT(J132))</f>
        <v>1.848366256909008</v>
      </c>
      <c r="L132" s="3">
        <f>K132-H132*SQRT(J132)</f>
        <v>1.4292556052215608</v>
      </c>
      <c r="M132" s="3">
        <f>EXP(-E132*J132)*(D132*_xlfn.NORM.DIST(K132,0,1,TRUE)-G132*_xlfn.NORM.DIST(L132,0,1,TRUE))</f>
        <v>2744.5849770804048</v>
      </c>
      <c r="N132" s="3">
        <f>EXP(-E132*J132)*(G132*_xlfn.NORM.DIST(-L132,0,1,TRUE)-D132*_xlfn.NORM.DIST(-K132,0,1,TRUE))</f>
        <v>33.826183873059357</v>
      </c>
      <c r="O132" s="3" t="b">
        <f>(M132-N132)=EXP(-E132*J132)*(D132-G132)</f>
        <v>1</v>
      </c>
    </row>
    <row r="133" spans="1:15" x14ac:dyDescent="0.3">
      <c r="A133" s="1">
        <v>45987</v>
      </c>
      <c r="B133" t="s">
        <v>16</v>
      </c>
      <c r="C133">
        <v>5655.58</v>
      </c>
      <c r="D133">
        <v>5620.0390100000004</v>
      </c>
      <c r="E133" s="2">
        <v>1.8999741235304162E-2</v>
      </c>
      <c r="F133" s="1">
        <v>46556</v>
      </c>
      <c r="G133">
        <v>3393.348</v>
      </c>
      <c r="H133">
        <v>0.29327599999999998</v>
      </c>
      <c r="J133" s="3">
        <f>(F133-A133)/365</f>
        <v>1.558904109589041</v>
      </c>
      <c r="K133" s="3">
        <f>(LN(D133/G133)+H133^2*J133/2)/(H133*SQRT(J133))</f>
        <v>1.5609096985739259</v>
      </c>
      <c r="L133" s="3">
        <f>K133-H133*SQRT(J133)</f>
        <v>1.194736776895851</v>
      </c>
      <c r="M133" s="3">
        <f>EXP(-E133*J133)*(D133*_xlfn.NORM.DIST(K133,0,1,TRUE)-G133*_xlfn.NORM.DIST(L133,0,1,TRUE))</f>
        <v>2220.7674230581251</v>
      </c>
      <c r="N133" s="3">
        <f>EXP(-E133*J133)*(G133*_xlfn.NORM.DIST(-L133,0,1,TRUE)-D133*_xlfn.NORM.DIST(-K133,0,1,TRUE))</f>
        <v>59.061137731787078</v>
      </c>
      <c r="O133" s="3" t="b">
        <f>(M133-N133)=EXP(-E133*J133)*(D133-G133)</f>
        <v>1</v>
      </c>
    </row>
    <row r="134" spans="1:15" x14ac:dyDescent="0.3">
      <c r="A134" s="1">
        <v>45987</v>
      </c>
      <c r="B134" t="s">
        <v>16</v>
      </c>
      <c r="C134">
        <v>5655.58</v>
      </c>
      <c r="D134">
        <v>5620.0390100000004</v>
      </c>
      <c r="E134" s="2">
        <v>1.8999741235304162E-2</v>
      </c>
      <c r="F134" s="1">
        <v>46556</v>
      </c>
      <c r="G134">
        <v>3958.9059999999999</v>
      </c>
      <c r="H134">
        <v>0.25534600000000002</v>
      </c>
      <c r="J134" s="3">
        <f>(F134-A134)/365</f>
        <v>1.558904109589041</v>
      </c>
      <c r="K134" s="3">
        <f>(LN(D134/G134)+H134^2*J134/2)/(H134*SQRT(J134))</f>
        <v>1.2583861281669679</v>
      </c>
      <c r="L134" s="3">
        <f>K134-H134*SQRT(J134)</f>
        <v>0.93957111821453509</v>
      </c>
      <c r="M134" s="3">
        <f>EXP(-E134*J134)*(D134*_xlfn.NORM.DIST(K134,0,1,TRUE)-G134*_xlfn.NORM.DIST(L134,0,1,TRUE))</f>
        <v>1712.204894714773</v>
      </c>
      <c r="N134" s="3">
        <f>EXP(-E134*J134)*(G134*_xlfn.NORM.DIST(-L134,0,1,TRUE)-D134*_xlfn.NORM.DIST(-K134,0,1,TRUE))</f>
        <v>99.551117269442429</v>
      </c>
      <c r="O134" s="3" t="b">
        <f>(M134-N134)=EXP(-E134*J134)*(D134-G134)</f>
        <v>1</v>
      </c>
    </row>
    <row r="135" spans="1:15" x14ac:dyDescent="0.3">
      <c r="A135" s="1">
        <v>45987</v>
      </c>
      <c r="B135" t="s">
        <v>16</v>
      </c>
      <c r="C135">
        <v>5655.58</v>
      </c>
      <c r="D135">
        <v>5620.0390100000004</v>
      </c>
      <c r="E135" s="2">
        <v>1.8999741235304162E-2</v>
      </c>
      <c r="F135" s="1">
        <v>46556</v>
      </c>
      <c r="G135">
        <v>4524.4639999999999</v>
      </c>
      <c r="H135">
        <v>0.22225800000000001</v>
      </c>
      <c r="J135" s="3">
        <f>(F135-A135)/365</f>
        <v>1.558904109589041</v>
      </c>
      <c r="K135" s="3">
        <f>(LN(D135/G135)+H135^2*J135/2)/(H135*SQRT(J135))</f>
        <v>0.92014747063926405</v>
      </c>
      <c r="L135" s="3">
        <f>K135-H135*SQRT(J135)</f>
        <v>0.64264484094462304</v>
      </c>
      <c r="M135" s="3">
        <f>EXP(-E135*J135)*(D135*_xlfn.NORM.DIST(K135,0,1,TRUE)-G135*_xlfn.NORM.DIST(L135,0,1,TRUE))</f>
        <v>1231.3767551453632</v>
      </c>
      <c r="N135" s="3">
        <f>EXP(-E135*J135)*(G135*_xlfn.NORM.DIST(-L135,0,1,TRUE)-D135*_xlfn.NORM.DIST(-K135,0,1,TRUE))</f>
        <v>167.77548558104027</v>
      </c>
      <c r="O135" s="3" t="b">
        <f>(M135-N135)=EXP(-E135*J135)*(D135-G135)</f>
        <v>1</v>
      </c>
    </row>
    <row r="136" spans="1:15" x14ac:dyDescent="0.3">
      <c r="A136" s="1">
        <v>45987</v>
      </c>
      <c r="B136" t="s">
        <v>16</v>
      </c>
      <c r="C136">
        <v>5655.58</v>
      </c>
      <c r="D136">
        <v>5620.0390100000004</v>
      </c>
      <c r="E136" s="2">
        <v>1.8999741235304162E-2</v>
      </c>
      <c r="F136" s="1">
        <v>46556</v>
      </c>
      <c r="G136">
        <v>5090.0219999999999</v>
      </c>
      <c r="H136">
        <v>0.19434599999999999</v>
      </c>
      <c r="J136" s="3">
        <f>(F136-A136)/365</f>
        <v>1.558904109589041</v>
      </c>
      <c r="K136" s="3">
        <f>(LN(D136/G136)+H136^2*J136/2)/(H136*SQRT(J136))</f>
        <v>0.52954939329289286</v>
      </c>
      <c r="L136" s="3">
        <f>K136-H136*SQRT(J136)</f>
        <v>0.28689659307587156</v>
      </c>
      <c r="M136" s="3">
        <f>EXP(-E136*J136)*(D136*_xlfn.NORM.DIST(K136,0,1,TRUE)-G136*_xlfn.NORM.DIST(L136,0,1,TRUE))</f>
        <v>800.31969398125375</v>
      </c>
      <c r="N136" s="3">
        <f>EXP(-E136*J136)*(G136*_xlfn.NORM.DIST(-L136,0,1,TRUE)-D136*_xlfn.NORM.DIST(-K136,0,1,TRUE))</f>
        <v>285.77093229793729</v>
      </c>
      <c r="O136" s="3" t="b">
        <f>(M136-N136)=EXP(-E136*J136)*(D136-G136)</f>
        <v>1</v>
      </c>
    </row>
    <row r="137" spans="1:15" x14ac:dyDescent="0.3">
      <c r="A137" s="1">
        <v>45987</v>
      </c>
      <c r="B137" t="s">
        <v>16</v>
      </c>
      <c r="C137">
        <v>5655.58</v>
      </c>
      <c r="D137">
        <v>5620.0390100000004</v>
      </c>
      <c r="E137" s="2">
        <v>1.8999741235304162E-2</v>
      </c>
      <c r="F137" s="1">
        <v>46556</v>
      </c>
      <c r="G137">
        <v>5372.8009999999995</v>
      </c>
      <c r="H137">
        <v>0.18227399999999999</v>
      </c>
      <c r="J137" s="3">
        <f>(F137-A137)/365</f>
        <v>1.558904109589041</v>
      </c>
      <c r="K137" s="3">
        <f>(LN(D137/G137)+H137^2*J137/2)/(H137*SQRT(J137))</f>
        <v>0.31147528225928972</v>
      </c>
      <c r="L137" s="3">
        <f>K137-H137*SQRT(J137)</f>
        <v>8.3895108204987939E-2</v>
      </c>
      <c r="M137" s="3">
        <f>EXP(-E137*J137)*(D137*_xlfn.NORM.DIST(K137,0,1,TRUE)-G137*_xlfn.NORM.DIST(L137,0,1,TRUE))</f>
        <v>612.80408096551344</v>
      </c>
      <c r="N137" s="3">
        <f>EXP(-E137*J137)*(G137*_xlfn.NORM.DIST(-L137,0,1,TRUE)-D137*_xlfn.NORM.DIST(-K137,0,1,TRUE))</f>
        <v>372.78157322270056</v>
      </c>
      <c r="O137" s="3" t="b">
        <f>(M137-N137)=EXP(-E137*J137)*(D137-G137)</f>
        <v>1</v>
      </c>
    </row>
    <row r="138" spans="1:15" x14ac:dyDescent="0.3">
      <c r="A138" s="1">
        <v>45987</v>
      </c>
      <c r="B138" t="s">
        <v>16</v>
      </c>
      <c r="C138">
        <v>5655.58</v>
      </c>
      <c r="D138">
        <v>5620.0390100000004</v>
      </c>
      <c r="E138" s="2">
        <v>1.8999741235304162E-2</v>
      </c>
      <c r="F138" s="1">
        <v>46556</v>
      </c>
      <c r="G138">
        <v>5655.58</v>
      </c>
      <c r="H138">
        <v>0.17156199999999999</v>
      </c>
      <c r="J138" s="3">
        <f>(F138-A138)/365</f>
        <v>1.558904109589041</v>
      </c>
      <c r="K138" s="3">
        <f>(LN(D138/G138)+H138^2*J138/2)/(H138*SQRT(J138))</f>
        <v>7.7672829298906357E-2</v>
      </c>
      <c r="L138" s="3">
        <f>K138-H138*SQRT(J138)</f>
        <v>-0.13653276130153102</v>
      </c>
      <c r="M138" s="3">
        <f>EXP(-E138*J138)*(D138*_xlfn.NORM.DIST(K138,0,1,TRUE)-G138*_xlfn.NORM.DIST(L138,0,1,TRUE))</f>
        <v>449.77904581136642</v>
      </c>
      <c r="N138" s="3">
        <f>EXP(-E138*J138)*(G138*_xlfn.NORM.DIST(-L138,0,1,TRUE)-D138*_xlfn.NORM.DIST(-K138,0,1,TRUE))</f>
        <v>484.28279200905706</v>
      </c>
      <c r="O138" s="3" t="b">
        <f>(M138-N138)=EXP(-E138*J138)*(D138-G138)</f>
        <v>1</v>
      </c>
    </row>
    <row r="139" spans="1:15" x14ac:dyDescent="0.3">
      <c r="A139" s="1">
        <v>45987</v>
      </c>
      <c r="B139" t="s">
        <v>16</v>
      </c>
      <c r="C139">
        <v>5655.58</v>
      </c>
      <c r="D139">
        <v>5620.0390100000004</v>
      </c>
      <c r="E139" s="2">
        <v>1.8999741235304162E-2</v>
      </c>
      <c r="F139" s="1">
        <v>46556</v>
      </c>
      <c r="G139">
        <v>5938.3590000000004</v>
      </c>
      <c r="H139">
        <v>0.16245299999999999</v>
      </c>
      <c r="J139" s="3">
        <f>(F139-A139)/365</f>
        <v>1.558904109589041</v>
      </c>
      <c r="K139" s="3">
        <f>(LN(D139/G139)+H139^2*J139/2)/(H139*SQRT(J139))</f>
        <v>-0.17020810024121638</v>
      </c>
      <c r="L139" s="3">
        <f>K139-H139*SQRT(J139)</f>
        <v>-0.37304055037477074</v>
      </c>
      <c r="M139" s="3">
        <f>EXP(-E139*J139)*(D139*_xlfn.NORM.DIST(K139,0,1,TRUE)-G139*_xlfn.NORM.DIST(L139,0,1,TRUE))</f>
        <v>315.25883035584252</v>
      </c>
      <c r="N139" s="3">
        <f>EXP(-E139*J139)*(G139*_xlfn.NORM.DIST(-L139,0,1,TRUE)-D139*_xlfn.NORM.DIST(-K139,0,1,TRUE))</f>
        <v>624.2888304940368</v>
      </c>
      <c r="O139" s="3" t="b">
        <f>(M139-N139)=EXP(-E139*J139)*(D139-G139)</f>
        <v>0</v>
      </c>
    </row>
    <row r="140" spans="1:15" x14ac:dyDescent="0.3">
      <c r="A140" s="1">
        <v>45987</v>
      </c>
      <c r="B140" t="s">
        <v>16</v>
      </c>
      <c r="C140">
        <v>5655.58</v>
      </c>
      <c r="D140">
        <v>5620.0390100000004</v>
      </c>
      <c r="E140" s="2">
        <v>1.8999741235304162E-2</v>
      </c>
      <c r="F140" s="1">
        <v>46556</v>
      </c>
      <c r="G140">
        <v>6221.1380000000008</v>
      </c>
      <c r="H140">
        <v>0.154946</v>
      </c>
      <c r="J140" s="3">
        <f>(F140-A140)/365</f>
        <v>1.558904109589041</v>
      </c>
      <c r="K140" s="3">
        <f>(LN(D140/G140)+H140^2*J140/2)/(H140*SQRT(J140))</f>
        <v>-0.42851837949135407</v>
      </c>
      <c r="L140" s="3">
        <f>K140-H140*SQRT(J140)</f>
        <v>-0.62197788358419148</v>
      </c>
      <c r="M140" s="3">
        <f>EXP(-E140*J140)*(D140*_xlfn.NORM.DIST(K140,0,1,TRUE)-G140*_xlfn.NORM.DIST(L140,0,1,TRUE))</f>
        <v>210.62234693926999</v>
      </c>
      <c r="N140" s="3">
        <f>EXP(-E140*J140)*(G140*_xlfn.NORM.DIST(-L140,0,1,TRUE)-D140*_xlfn.NORM.DIST(-K140,0,1,TRUE))</f>
        <v>794.17860101796839</v>
      </c>
      <c r="O140" s="3" t="b">
        <f>(M140-N140)=EXP(-E140*J140)*(D140-G140)</f>
        <v>0</v>
      </c>
    </row>
    <row r="141" spans="1:15" x14ac:dyDescent="0.3">
      <c r="A141" s="1">
        <v>45987</v>
      </c>
      <c r="B141" t="s">
        <v>16</v>
      </c>
      <c r="C141">
        <v>5655.58</v>
      </c>
      <c r="D141">
        <v>5620.0390100000004</v>
      </c>
      <c r="E141" s="2">
        <v>1.8999741235304162E-2</v>
      </c>
      <c r="F141" s="1">
        <v>46556</v>
      </c>
      <c r="G141">
        <v>6786.6959999999999</v>
      </c>
      <c r="H141">
        <v>0.14519199999999999</v>
      </c>
      <c r="J141" s="3">
        <f>(F141-A141)/365</f>
        <v>1.558904109589041</v>
      </c>
      <c r="K141" s="3">
        <f>(LN(D141/G141)+H141^2*J141/2)/(H141*SQRT(J141))</f>
        <v>-0.94987435068559067</v>
      </c>
      <c r="L141" s="3">
        <f>K141-H141*SQRT(J141)</f>
        <v>-1.1311553925856543</v>
      </c>
      <c r="M141" s="3">
        <f>EXP(-E141*J141)*(D141*_xlfn.NORM.DIST(K141,0,1,TRUE)-G141*_xlfn.NORM.DIST(L141,0,1,TRUE))</f>
        <v>83.560725208294471</v>
      </c>
      <c r="N141" s="3">
        <f>EXP(-E141*J141)*(G141*_xlfn.NORM.DIST(-L141,0,1,TRUE)-D141*_xlfn.NORM.DIST(-K141,0,1,TRUE))</f>
        <v>1216.1694871679993</v>
      </c>
      <c r="O141" s="3" t="b">
        <f>(M141-N141)=EXP(-E141*J141)*(D141-G141)</f>
        <v>1</v>
      </c>
    </row>
    <row r="142" spans="1:15" x14ac:dyDescent="0.3">
      <c r="A142" s="1">
        <v>45987</v>
      </c>
      <c r="B142" t="s">
        <v>16</v>
      </c>
      <c r="C142">
        <v>5655.58</v>
      </c>
      <c r="D142">
        <v>5620.0390100000004</v>
      </c>
      <c r="E142" s="2">
        <v>1.8999741235304162E-2</v>
      </c>
      <c r="F142" s="1">
        <v>46556</v>
      </c>
      <c r="G142">
        <v>7352.2539999999999</v>
      </c>
      <c r="H142">
        <v>0.14136099999999999</v>
      </c>
      <c r="J142" s="3">
        <f>(F142-A142)/365</f>
        <v>1.558904109589041</v>
      </c>
      <c r="K142" s="3">
        <f>(LN(D142/G142)+H142^2*J142/2)/(H142*SQRT(J142))</f>
        <v>-1.4339701814447907</v>
      </c>
      <c r="L142" s="3">
        <f>K142-H142*SQRT(J142)</f>
        <v>-1.6104679868613074</v>
      </c>
      <c r="M142" s="3">
        <f>EXP(-E142*J142)*(D142*_xlfn.NORM.DIST(K142,0,1,TRUE)-G142*_xlfn.NORM.DIST(L142,0,1,TRUE))</f>
        <v>30.592535432288678</v>
      </c>
      <c r="N142" s="3">
        <f>EXP(-E142*J142)*(G142*_xlfn.NORM.DIST(-L142,0,1,TRUE)-D142*_xlfn.NORM.DIST(-K142,0,1,TRUE))</f>
        <v>1712.2538052730008</v>
      </c>
      <c r="O142" s="3" t="b">
        <f>(M142-N142)=EXP(-E142*J142)*(D142-G142)</f>
        <v>1</v>
      </c>
    </row>
    <row r="143" spans="1:15" x14ac:dyDescent="0.3">
      <c r="A143" s="1">
        <v>45987</v>
      </c>
      <c r="B143" t="s">
        <v>16</v>
      </c>
      <c r="C143">
        <v>5655.58</v>
      </c>
      <c r="D143">
        <v>5620.0390100000004</v>
      </c>
      <c r="E143" s="2">
        <v>1.8999741235304162E-2</v>
      </c>
      <c r="F143" s="1">
        <v>46556</v>
      </c>
      <c r="G143">
        <v>7917.8119999999999</v>
      </c>
      <c r="H143">
        <v>0.141097</v>
      </c>
      <c r="J143" s="3">
        <f>(F143-A143)/365</f>
        <v>1.558904109589041</v>
      </c>
      <c r="K143" s="3">
        <f>(LN(D143/G143)+H143^2*J143/2)/(H143*SQRT(J143))</f>
        <v>-1.8576491801401263</v>
      </c>
      <c r="L143" s="3">
        <f>K143-H143*SQRT(J143)</f>
        <v>-2.0338173655013945</v>
      </c>
      <c r="M143" s="3">
        <f>EXP(-E143*J143)*(D143*_xlfn.NORM.DIST(K143,0,1,TRUE)-G143*_xlfn.NORM.DIST(L143,0,1,TRUE))</f>
        <v>11.155510084520076</v>
      </c>
      <c r="N143" s="3">
        <f>EXP(-E143*J143)*(G143*_xlfn.NORM.DIST(-L143,0,1,TRUE)-D143*_xlfn.NORM.DIST(-K143,0,1,TRUE))</f>
        <v>2241.8692878062388</v>
      </c>
      <c r="O143" s="3" t="b">
        <f>(M143-N143)=EXP(-E143*J143)*(D143-G143)</f>
        <v>1</v>
      </c>
    </row>
    <row r="144" spans="1:15" x14ac:dyDescent="0.3">
      <c r="A144" s="1">
        <v>45987</v>
      </c>
      <c r="B144" t="s">
        <v>16</v>
      </c>
      <c r="C144">
        <v>5655.58</v>
      </c>
      <c r="D144">
        <v>5620.0390100000004</v>
      </c>
      <c r="E144" s="2">
        <v>1.8999741235304162E-2</v>
      </c>
      <c r="F144" s="1">
        <v>46556</v>
      </c>
      <c r="G144">
        <v>8483.3700000000008</v>
      </c>
      <c r="H144">
        <v>0.146759</v>
      </c>
      <c r="J144" s="3">
        <f>(F144-A144)/365</f>
        <v>1.558904109589041</v>
      </c>
      <c r="K144" s="3">
        <f>(LN(D144/G144)+H144^2*J144/2)/(H144*SQRT(J144))</f>
        <v>-2.1555691101706476</v>
      </c>
      <c r="L144" s="3">
        <f>K144-H144*SQRT(J144)</f>
        <v>-2.3388066468683406</v>
      </c>
      <c r="M144" s="3">
        <f>EXP(-E144*J144)*(D144*_xlfn.NORM.DIST(K144,0,1,TRUE)-G144*_xlfn.NORM.DIST(L144,0,1,TRUE))</f>
        <v>5.2259210952859529</v>
      </c>
      <c r="N144" s="3">
        <f>EXP(-E144*J144)*(G144*_xlfn.NORM.DIST(-L144,0,1,TRUE)-D144*_xlfn.NORM.DIST(-K144,0,1,TRUE))</f>
        <v>2784.9922066980139</v>
      </c>
      <c r="O144" s="3" t="b">
        <f>(M144-N144)=EXP(-E144*J144)*(D144-G144)</f>
        <v>1</v>
      </c>
    </row>
    <row r="145" spans="1:15" x14ac:dyDescent="0.3">
      <c r="A145" s="1">
        <v>45987</v>
      </c>
      <c r="B145" t="s">
        <v>16</v>
      </c>
      <c r="C145">
        <v>5655.58</v>
      </c>
      <c r="D145">
        <v>5656.0707599999996</v>
      </c>
      <c r="E145" s="2">
        <v>1.9242418676603684E-2</v>
      </c>
      <c r="F145" s="1">
        <v>46738</v>
      </c>
      <c r="G145">
        <v>2827.79</v>
      </c>
      <c r="H145">
        <v>0.31231100000000001</v>
      </c>
      <c r="J145" s="3">
        <f>(F145-A145)/365</f>
        <v>2.0575342465753423</v>
      </c>
      <c r="K145" s="3">
        <f>(LN(D145/G145)+H145^2*J145/2)/(H145*SQRT(J145))</f>
        <v>1.7714496167603251</v>
      </c>
      <c r="L145" s="3">
        <f>K145-H145*SQRT(J145)</f>
        <v>1.3234673559157384</v>
      </c>
      <c r="M145" s="3">
        <f>EXP(-E145*J145)*(D145*_xlfn.NORM.DIST(K145,0,1,TRUE)-G145*_xlfn.NORM.DIST(L145,0,1,TRUE))</f>
        <v>2762.9239381059888</v>
      </c>
      <c r="N145" s="3">
        <f>EXP(-E145*J145)*(G145*_xlfn.NORM.DIST(-L145,0,1,TRUE)-D145*_xlfn.NORM.DIST(-K145,0,1,TRUE))</f>
        <v>44.432559187675551</v>
      </c>
      <c r="O145" s="3" t="b">
        <f>(M145-N145)=EXP(-E145*J145)*(D145-G145)</f>
        <v>1</v>
      </c>
    </row>
    <row r="146" spans="1:15" x14ac:dyDescent="0.3">
      <c r="A146" s="1">
        <v>45987</v>
      </c>
      <c r="B146" t="s">
        <v>16</v>
      </c>
      <c r="C146">
        <v>5655.58</v>
      </c>
      <c r="D146">
        <v>5656.0707599999996</v>
      </c>
      <c r="E146" s="2">
        <v>1.9242418676603684E-2</v>
      </c>
      <c r="F146" s="1">
        <v>46738</v>
      </c>
      <c r="G146">
        <v>3393.348</v>
      </c>
      <c r="H146">
        <v>0.27810600000000002</v>
      </c>
      <c r="J146" s="3">
        <f>(F146-A146)/365</f>
        <v>2.0575342465753423</v>
      </c>
      <c r="K146" s="3">
        <f>(LN(D146/G146)+H146^2*J146/2)/(H146*SQRT(J146))</f>
        <v>1.4802037504020928</v>
      </c>
      <c r="L146" s="3">
        <f>K146-H146*SQRT(J146)</f>
        <v>1.0812855098199659</v>
      </c>
      <c r="M146" s="3">
        <f>EXP(-E146*J146)*(D146*_xlfn.NORM.DIST(K146,0,1,TRUE)-G146*_xlfn.NORM.DIST(L146,0,1,TRUE))</f>
        <v>2253.4685270061641</v>
      </c>
      <c r="N146" s="3">
        <f>EXP(-E146*J146)*(G146*_xlfn.NORM.DIST(-L146,0,1,TRUE)-D146*_xlfn.NORM.DIST(-K146,0,1,TRUE))</f>
        <v>78.581081976749118</v>
      </c>
      <c r="O146" s="3" t="b">
        <f>(M146-N146)=EXP(-E146*J146)*(D146-G146)</f>
        <v>0</v>
      </c>
    </row>
    <row r="147" spans="1:15" x14ac:dyDescent="0.3">
      <c r="A147" s="1">
        <v>45987</v>
      </c>
      <c r="B147" t="s">
        <v>16</v>
      </c>
      <c r="C147">
        <v>5655.58</v>
      </c>
      <c r="D147">
        <v>5656.0707599999996</v>
      </c>
      <c r="E147" s="2">
        <v>1.9242418676603684E-2</v>
      </c>
      <c r="F147" s="1">
        <v>46738</v>
      </c>
      <c r="G147">
        <v>3958.9059999999999</v>
      </c>
      <c r="H147">
        <v>0.24801500000000001</v>
      </c>
      <c r="J147" s="3">
        <f>(F147-A147)/365</f>
        <v>2.0575342465753423</v>
      </c>
      <c r="K147" s="3">
        <f>(LN(D147/G147)+H147^2*J147/2)/(H147*SQRT(J147))</f>
        <v>1.1807064020401192</v>
      </c>
      <c r="L147" s="3">
        <f>K147-H147*SQRT(J147)</f>
        <v>0.82495101582775332</v>
      </c>
      <c r="M147" s="3">
        <f>EXP(-E147*J147)*(D147*_xlfn.NORM.DIST(K147,0,1,TRUE)-G147*_xlfn.NORM.DIST(L147,0,1,TRUE))</f>
        <v>1764.0304379693819</v>
      </c>
      <c r="N147" s="3">
        <f>EXP(-E147*J147)*(G147*_xlfn.NORM.DIST(-L147,0,1,TRUE)-D147*_xlfn.NORM.DIST(-K147,0,1,TRUE))</f>
        <v>132.74692682886581</v>
      </c>
      <c r="O147" s="3" t="b">
        <f>(M147-N147)=EXP(-E147*J147)*(D147-G147)</f>
        <v>1</v>
      </c>
    </row>
    <row r="148" spans="1:15" x14ac:dyDescent="0.3">
      <c r="A148" s="1">
        <v>45987</v>
      </c>
      <c r="B148" t="s">
        <v>16</v>
      </c>
      <c r="C148">
        <v>5655.58</v>
      </c>
      <c r="D148">
        <v>5656.0707599999996</v>
      </c>
      <c r="E148" s="2">
        <v>1.9242418676603684E-2</v>
      </c>
      <c r="F148" s="1">
        <v>46738</v>
      </c>
      <c r="G148">
        <v>4524.4639999999999</v>
      </c>
      <c r="H148">
        <v>0.22103600000000001</v>
      </c>
      <c r="J148" s="3">
        <f>(F148-A148)/365</f>
        <v>2.0575342465753423</v>
      </c>
      <c r="K148" s="3">
        <f>(LN(D148/G148)+H148^2*J148/2)/(H148*SQRT(J148))</f>
        <v>0.86259950127923435</v>
      </c>
      <c r="L148" s="3">
        <f>K148-H148*SQRT(J148)</f>
        <v>0.54554308313179778</v>
      </c>
      <c r="M148" s="3">
        <f>EXP(-E148*J148)*(D148*_xlfn.NORM.DIST(K148,0,1,TRUE)-G148*_xlfn.NORM.DIST(L148,0,1,TRUE))</f>
        <v>1304.8837100409783</v>
      </c>
      <c r="N148" s="3">
        <f>EXP(-E148*J148)*(G148*_xlfn.NORM.DIST(-L148,0,1,TRUE)-D148*_xlfn.NORM.DIST(-K148,0,1,TRUE))</f>
        <v>217.20413278936024</v>
      </c>
      <c r="O148" s="3" t="b">
        <f>(M148-N148)=EXP(-E148*J148)*(D148-G148)</f>
        <v>1</v>
      </c>
    </row>
    <row r="149" spans="1:15" x14ac:dyDescent="0.3">
      <c r="A149" s="1">
        <v>45987</v>
      </c>
      <c r="B149" t="s">
        <v>16</v>
      </c>
      <c r="C149">
        <v>5655.58</v>
      </c>
      <c r="D149">
        <v>5656.0707599999996</v>
      </c>
      <c r="E149" s="2">
        <v>1.9242418676603684E-2</v>
      </c>
      <c r="F149" s="1">
        <v>46738</v>
      </c>
      <c r="G149">
        <v>5090.0219999999999</v>
      </c>
      <c r="H149">
        <v>0.196688</v>
      </c>
      <c r="J149" s="3">
        <f>(F149-A149)/365</f>
        <v>2.0575342465753423</v>
      </c>
      <c r="K149" s="3">
        <f>(LN(D149/G149)+H149^2*J149/2)/(H149*SQRT(J149))</f>
        <v>0.51481810723131383</v>
      </c>
      <c r="L149" s="3">
        <f>K149-H149*SQRT(J149)</f>
        <v>0.23268672242258126</v>
      </c>
      <c r="M149" s="3">
        <f>EXP(-E149*J149)*(D149*_xlfn.NORM.DIST(K149,0,1,TRUE)-G149*_xlfn.NORM.DIST(L149,0,1,TRUE))</f>
        <v>891.08912007846266</v>
      </c>
      <c r="N149" s="3">
        <f>EXP(-E149*J149)*(G149*_xlfn.NORM.DIST(-L149,0,1,TRUE)-D149*_xlfn.NORM.DIST(-K149,0,1,TRUE))</f>
        <v>347.01347671574365</v>
      </c>
      <c r="O149" s="3" t="b">
        <f>(M149-N149)=EXP(-E149*J149)*(D149-G149)</f>
        <v>1</v>
      </c>
    </row>
    <row r="150" spans="1:15" x14ac:dyDescent="0.3">
      <c r="A150" s="1">
        <v>45987</v>
      </c>
      <c r="B150" t="s">
        <v>16</v>
      </c>
      <c r="C150">
        <v>5655.58</v>
      </c>
      <c r="D150">
        <v>5656.0707599999996</v>
      </c>
      <c r="E150" s="2">
        <v>1.9242418676603684E-2</v>
      </c>
      <c r="F150" s="1">
        <v>46738</v>
      </c>
      <c r="G150">
        <v>5372.8009999999995</v>
      </c>
      <c r="H150">
        <v>0.18548600000000001</v>
      </c>
      <c r="J150" s="3">
        <f>(F150-A150)/365</f>
        <v>2.0575342465753423</v>
      </c>
      <c r="K150" s="3">
        <f>(LN(D150/G150)+H150^2*J150/2)/(H150*SQRT(J150))</f>
        <v>0.32614387626756325</v>
      </c>
      <c r="L150" s="3">
        <f>K150-H150*SQRT(J150)</f>
        <v>6.0080760863305882E-2</v>
      </c>
      <c r="M150" s="3">
        <f>EXP(-E150*J150)*(D150*_xlfn.NORM.DIST(K150,0,1,TRUE)-G150*_xlfn.NORM.DIST(L150,0,1,TRUE))</f>
        <v>707.44672152243834</v>
      </c>
      <c r="N150" s="3">
        <f>EXP(-E150*J150)*(G150*_xlfn.NORM.DIST(-L150,0,1,TRUE)-D150*_xlfn.NORM.DIST(-K150,0,1,TRUE))</f>
        <v>435.17304510416835</v>
      </c>
      <c r="O150" s="3" t="b">
        <f>(M150-N150)=EXP(-E150*J150)*(D150-G150)</f>
        <v>1</v>
      </c>
    </row>
    <row r="151" spans="1:15" x14ac:dyDescent="0.3">
      <c r="A151" s="1">
        <v>45987</v>
      </c>
      <c r="B151" t="s">
        <v>16</v>
      </c>
      <c r="C151">
        <v>5655.58</v>
      </c>
      <c r="D151">
        <v>5656.0707599999996</v>
      </c>
      <c r="E151" s="2">
        <v>1.9242418676603684E-2</v>
      </c>
      <c r="F151" s="1">
        <v>46738</v>
      </c>
      <c r="G151">
        <v>5655.58</v>
      </c>
      <c r="H151">
        <v>0.17499899999999999</v>
      </c>
      <c r="J151" s="3">
        <f>(F151-A151)/365</f>
        <v>2.0575342465753423</v>
      </c>
      <c r="K151" s="3">
        <f>(LN(D151/G151)+H151^2*J151/2)/(H151*SQRT(J151))</f>
        <v>0.12585589673739178</v>
      </c>
      <c r="L151" s="3">
        <f>K151-H151*SQRT(J151)</f>
        <v>-0.12516455296031925</v>
      </c>
      <c r="M151" s="3">
        <f>EXP(-E151*J151)*(D151*_xlfn.NORM.DIST(K151,0,1,TRUE)-G151*_xlfn.NORM.DIST(L151,0,1,TRUE))</f>
        <v>543.2130604730163</v>
      </c>
      <c r="N151" s="3">
        <f>EXP(-E151*J151)*(G151*_xlfn.NORM.DIST(-L151,0,1,TRUE)-D151*_xlfn.NORM.DIST(-K151,0,1,TRUE))</f>
        <v>542.74135099919556</v>
      </c>
      <c r="O151" s="3" t="b">
        <f>(M151-N151)=EXP(-E151*J151)*(D151-G151)</f>
        <v>0</v>
      </c>
    </row>
    <row r="152" spans="1:15" x14ac:dyDescent="0.3">
      <c r="A152" s="1">
        <v>45987</v>
      </c>
      <c r="B152" t="s">
        <v>16</v>
      </c>
      <c r="C152">
        <v>5655.58</v>
      </c>
      <c r="D152">
        <v>5656.0707599999996</v>
      </c>
      <c r="E152" s="2">
        <v>1.9242418676603684E-2</v>
      </c>
      <c r="F152" s="1">
        <v>46738</v>
      </c>
      <c r="G152">
        <v>5938.3590000000004</v>
      </c>
      <c r="H152">
        <v>0.16533999999999999</v>
      </c>
      <c r="J152" s="3">
        <f>(F152-A152)/365</f>
        <v>2.0575342465753423</v>
      </c>
      <c r="K152" s="3">
        <f>(LN(D152/G152)+H152^2*J152/2)/(H152*SQRT(J152))</f>
        <v>-8.677343037539563E-2</v>
      </c>
      <c r="L152" s="3">
        <f>K152-H152*SQRT(J152)</f>
        <v>-0.32393890648108503</v>
      </c>
      <c r="M152" s="3">
        <f>EXP(-E152*J152)*(D152*_xlfn.NORM.DIST(K152,0,1,TRUE)-G152*_xlfn.NORM.DIST(L152,0,1,TRUE))</f>
        <v>401.31255869512711</v>
      </c>
      <c r="N152" s="3">
        <f>EXP(-E152*J152)*(G152*_xlfn.NORM.DIST(-L152,0,1,TRUE)-D152*_xlfn.NORM.DIST(-K152,0,1,TRUE))</f>
        <v>672.64281616575556</v>
      </c>
      <c r="O152" s="3" t="b">
        <f>(M152-N152)=EXP(-E152*J152)*(D152-G152)</f>
        <v>0</v>
      </c>
    </row>
    <row r="153" spans="1:15" x14ac:dyDescent="0.3">
      <c r="A153" s="1">
        <v>45987</v>
      </c>
      <c r="B153" t="s">
        <v>16</v>
      </c>
      <c r="C153">
        <v>5655.58</v>
      </c>
      <c r="D153">
        <v>5656.0707599999996</v>
      </c>
      <c r="E153" s="2">
        <v>1.9242418676603684E-2</v>
      </c>
      <c r="F153" s="1">
        <v>46738</v>
      </c>
      <c r="G153">
        <v>6221.1380000000008</v>
      </c>
      <c r="H153">
        <v>0.15667800000000001</v>
      </c>
      <c r="J153" s="3">
        <f>(F153-A153)/365</f>
        <v>2.0575342465753423</v>
      </c>
      <c r="K153" s="3">
        <f>(LN(D153/G153)+H153^2*J153/2)/(H153*SQRT(J153))</f>
        <v>-0.31133331076327658</v>
      </c>
      <c r="L153" s="3">
        <f>K153-H153*SQRT(J153)</f>
        <v>-0.5360739208109796</v>
      </c>
      <c r="M153" s="3">
        <f>EXP(-E153*J153)*(D153*_xlfn.NORM.DIST(K153,0,1,TRUE)-G153*_xlfn.NORM.DIST(L153,0,1,TRUE))</f>
        <v>284.0727360966311</v>
      </c>
      <c r="N153" s="3">
        <f>EXP(-E153*J153)*(G153*_xlfn.NORM.DIST(-L153,0,1,TRUE)-D153*_xlfn.NORM.DIST(-K153,0,1,TRUE))</f>
        <v>827.20496051171028</v>
      </c>
      <c r="O153" s="3" t="b">
        <f>(M153-N153)=EXP(-E153*J153)*(D153-G153)</f>
        <v>1</v>
      </c>
    </row>
    <row r="154" spans="1:15" x14ac:dyDescent="0.3">
      <c r="A154" s="1">
        <v>45987</v>
      </c>
      <c r="B154" t="s">
        <v>16</v>
      </c>
      <c r="C154">
        <v>5655.58</v>
      </c>
      <c r="D154">
        <v>5656.0707599999996</v>
      </c>
      <c r="E154" s="2">
        <v>1.9242418676603684E-2</v>
      </c>
      <c r="F154" s="1">
        <v>46738</v>
      </c>
      <c r="G154">
        <v>6786.6959999999999</v>
      </c>
      <c r="H154">
        <v>0.14318900000000001</v>
      </c>
      <c r="J154" s="3">
        <f>(F154-A154)/365</f>
        <v>2.0575342465753423</v>
      </c>
      <c r="K154" s="3">
        <f>(LN(D154/G154)+H154^2*J154/2)/(H154*SQRT(J154))</f>
        <v>-0.78455832969556472</v>
      </c>
      <c r="L154" s="3">
        <f>K154-H154*SQRT(J154)</f>
        <v>-0.98995017291618626</v>
      </c>
      <c r="M154" s="3">
        <f>EXP(-E154*J154)*(D154*_xlfn.NORM.DIST(K154,0,1,TRUE)-G154*_xlfn.NORM.DIST(L154,0,1,TRUE))</f>
        <v>125.33318534609189</v>
      </c>
      <c r="N154" s="3">
        <f>EXP(-E154*J154)*(G154*_xlfn.NORM.DIST(-L154,0,1,TRUE)-D154*_xlfn.NORM.DIST(-K154,0,1,TRUE))</f>
        <v>1212.069343650068</v>
      </c>
      <c r="O154" s="3" t="b">
        <f>(M154-N154)=EXP(-E154*J154)*(D154-G154)</f>
        <v>1</v>
      </c>
    </row>
    <row r="155" spans="1:15" x14ac:dyDescent="0.3">
      <c r="A155" s="1">
        <v>45987</v>
      </c>
      <c r="B155" t="s">
        <v>16</v>
      </c>
      <c r="C155">
        <v>5655.58</v>
      </c>
      <c r="D155">
        <v>5656.0707599999996</v>
      </c>
      <c r="E155" s="2">
        <v>1.9242418676603684E-2</v>
      </c>
      <c r="F155" s="1">
        <v>46738</v>
      </c>
      <c r="G155">
        <v>7352.2539999999999</v>
      </c>
      <c r="H155">
        <v>0.135799</v>
      </c>
      <c r="J155" s="3">
        <f>(F155-A155)/365</f>
        <v>2.0575342465753423</v>
      </c>
      <c r="K155" s="3">
        <f>(LN(D155/G155)+H155^2*J155/2)/(H155*SQRT(J155))</f>
        <v>-1.2490563536314696</v>
      </c>
      <c r="L155" s="3">
        <f>K155-H155*SQRT(J155)</f>
        <v>-1.4438479012888816</v>
      </c>
      <c r="M155" s="3">
        <f>EXP(-E155*J155)*(D155*_xlfn.NORM.DIST(K155,0,1,TRUE)-G155*_xlfn.NORM.DIST(L155,0,1,TRUE))</f>
        <v>49.594440220529997</v>
      </c>
      <c r="N155" s="3">
        <f>EXP(-E155*J155)*(G155*_xlfn.NORM.DIST(-L155,0,1,TRUE)-D155*_xlfn.NORM.DIST(-K155,0,1,TRUE))</f>
        <v>1679.9345324134044</v>
      </c>
      <c r="O155" s="3" t="b">
        <f>(M155-N155)=EXP(-E155*J155)*(D155-G155)</f>
        <v>1</v>
      </c>
    </row>
    <row r="156" spans="1:15" x14ac:dyDescent="0.3">
      <c r="A156" s="1">
        <v>45987</v>
      </c>
      <c r="B156" t="s">
        <v>16</v>
      </c>
      <c r="C156">
        <v>5655.58</v>
      </c>
      <c r="D156">
        <v>5656.0707599999996</v>
      </c>
      <c r="E156" s="2">
        <v>1.9242418676603684E-2</v>
      </c>
      <c r="F156" s="1">
        <v>46738</v>
      </c>
      <c r="G156">
        <v>7917.8119999999999</v>
      </c>
      <c r="H156">
        <v>0.13395599999999999</v>
      </c>
      <c r="J156" s="3">
        <f>(F156-A156)/365</f>
        <v>2.0575342465753423</v>
      </c>
      <c r="K156" s="3">
        <f>(LN(D156/G156)+H156^2*J156/2)/(H156*SQRT(J156))</f>
        <v>-1.6545848553470208</v>
      </c>
      <c r="L156" s="3">
        <f>K156-H156*SQRT(J156)</f>
        <v>-1.8467327839620791</v>
      </c>
      <c r="M156" s="3">
        <f>EXP(-E156*J156)*(D156*_xlfn.NORM.DIST(K156,0,1,TRUE)-G156*_xlfn.NORM.DIST(L156,0,1,TRUE))</f>
        <v>19.887786284592597</v>
      </c>
      <c r="N156" s="3">
        <f>EXP(-E156*J156)*(G156*_xlfn.NORM.DIST(-L156,0,1,TRUE)-D156*_xlfn.NORM.DIST(-K156,0,1,TRUE))</f>
        <v>2193.8318123663653</v>
      </c>
      <c r="O156" s="3" t="b">
        <f>(M156-N156)=EXP(-E156*J156)*(D156-G156)</f>
        <v>1</v>
      </c>
    </row>
    <row r="157" spans="1:15" x14ac:dyDescent="0.3">
      <c r="A157" s="1">
        <v>45987</v>
      </c>
      <c r="B157" t="s">
        <v>16</v>
      </c>
      <c r="C157">
        <v>5655.58</v>
      </c>
      <c r="D157">
        <v>5656.0707599999996</v>
      </c>
      <c r="E157" s="2">
        <v>1.9242418676603684E-2</v>
      </c>
      <c r="F157" s="1">
        <v>46738</v>
      </c>
      <c r="G157">
        <v>8483.3700000000008</v>
      </c>
      <c r="H157">
        <v>0.135744</v>
      </c>
      <c r="J157" s="3">
        <f>(F157-A157)/365</f>
        <v>2.0575342465753423</v>
      </c>
      <c r="K157" s="3">
        <f>(LN(D157/G157)+H157^2*J157/2)/(H157*SQRT(J157))</f>
        <v>-1.9845747994369096</v>
      </c>
      <c r="L157" s="3">
        <f>K157-H157*SQRT(J157)</f>
        <v>-2.1792874545021732</v>
      </c>
      <c r="M157" s="3">
        <f>EXP(-E157*J157)*(D157*_xlfn.NORM.DIST(K157,0,1,TRUE)-G157*_xlfn.NORM.DIST(L157,0,1,TRUE))</f>
        <v>8.7803248219410133</v>
      </c>
      <c r="N157" s="3">
        <f>EXP(-E157*J157)*(G157*_xlfn.NORM.DIST(-L157,0,1,TRUE)-D157*_xlfn.NORM.DIST(-K157,0,1,TRUE))</f>
        <v>2726.328284792613</v>
      </c>
      <c r="O157" s="3" t="b">
        <f>(M157-N157)=EXP(-E157*J157)*(D157-G157)</f>
        <v>1</v>
      </c>
    </row>
    <row r="158" spans="1:15" x14ac:dyDescent="0.3">
      <c r="A158" s="1">
        <v>45987</v>
      </c>
      <c r="B158" t="s">
        <v>16</v>
      </c>
      <c r="C158">
        <v>5655.58</v>
      </c>
      <c r="D158">
        <v>5629.6177200000002</v>
      </c>
      <c r="E158" s="2">
        <v>1.9594691353975281E-2</v>
      </c>
      <c r="F158" s="1">
        <v>46920</v>
      </c>
      <c r="G158">
        <v>2827.79</v>
      </c>
      <c r="H158">
        <v>0.299371</v>
      </c>
      <c r="J158" s="3">
        <f>(F158-A158)/365</f>
        <v>2.5561643835616437</v>
      </c>
      <c r="K158" s="3">
        <f>(LN(D158/G158)+H158^2*J158/2)/(H158*SQRT(J158))</f>
        <v>1.6778802768943697</v>
      </c>
      <c r="L158" s="3">
        <f>K158-H158*SQRT(J158)</f>
        <v>1.1992456465074486</v>
      </c>
      <c r="M158" s="3">
        <f>EXP(-E158*J158)*(D158*_xlfn.NORM.DIST(K158,0,1,TRUE)-G158*_xlfn.NORM.DIST(L158,0,1,TRUE))</f>
        <v>2724.8585280154875</v>
      </c>
      <c r="N158" s="3">
        <f>EXP(-E158*J158)*(G158*_xlfn.NORM.DIST(-L158,0,1,TRUE)-D158*_xlfn.NORM.DIST(-K158,0,1,TRUE))</f>
        <v>59.910090983959648</v>
      </c>
      <c r="O158" s="3" t="b">
        <f>(M158-N158)=EXP(-E158*J158)*(D158-G158)</f>
        <v>1</v>
      </c>
    </row>
    <row r="159" spans="1:15" x14ac:dyDescent="0.3">
      <c r="A159" s="1">
        <v>45987</v>
      </c>
      <c r="B159" t="s">
        <v>16</v>
      </c>
      <c r="C159">
        <v>5655.58</v>
      </c>
      <c r="D159">
        <v>5629.6177200000002</v>
      </c>
      <c r="E159" s="2">
        <v>1.9594691353975281E-2</v>
      </c>
      <c r="F159" s="1">
        <v>46920</v>
      </c>
      <c r="G159">
        <v>3393.348</v>
      </c>
      <c r="H159">
        <v>0.26800400000000002</v>
      </c>
      <c r="J159" s="3">
        <f>(F159-A159)/365</f>
        <v>2.5561643835616437</v>
      </c>
      <c r="K159" s="3">
        <f>(LN(D159/G159)+H159^2*J159/2)/(H159*SQRT(J159))</f>
        <v>1.3956711477506498</v>
      </c>
      <c r="L159" s="3">
        <f>K159-H159*SQRT(J159)</f>
        <v>0.96718610583871967</v>
      </c>
      <c r="M159" s="3">
        <f>EXP(-E159*J159)*(D159*_xlfn.NORM.DIST(K159,0,1,TRUE)-G159*_xlfn.NORM.DIST(L159,0,1,TRUE))</f>
        <v>2229.2383770292317</v>
      </c>
      <c r="N159" s="3">
        <f>EXP(-E159*J159)*(G159*_xlfn.NORM.DIST(-L159,0,1,TRUE)-D159*_xlfn.NORM.DIST(-K159,0,1,TRUE))</f>
        <v>102.2184133981586</v>
      </c>
      <c r="O159" s="3" t="b">
        <f>(M159-N159)=EXP(-E159*J159)*(D159-G159)</f>
        <v>1</v>
      </c>
    </row>
    <row r="160" spans="1:15" x14ac:dyDescent="0.3">
      <c r="A160" s="1">
        <v>45987</v>
      </c>
      <c r="B160" t="s">
        <v>16</v>
      </c>
      <c r="C160">
        <v>5655.58</v>
      </c>
      <c r="D160">
        <v>5629.6177200000002</v>
      </c>
      <c r="E160" s="2">
        <v>1.9594691353975281E-2</v>
      </c>
      <c r="F160" s="1">
        <v>46920</v>
      </c>
      <c r="G160">
        <v>3958.9059999999999</v>
      </c>
      <c r="H160">
        <v>0.24052100000000001</v>
      </c>
      <c r="J160" s="3">
        <f>(F160-A160)/365</f>
        <v>2.5561643835616437</v>
      </c>
      <c r="K160" s="3">
        <f>(LN(D160/G160)+H160^2*J160/2)/(H160*SQRT(J160))</f>
        <v>1.1078315969146915</v>
      </c>
      <c r="L160" s="3">
        <f>K160-H160*SQRT(J160)</f>
        <v>0.72328640070232397</v>
      </c>
      <c r="M160" s="3">
        <f>EXP(-E160*J160)*(D160*_xlfn.NORM.DIST(K160,0,1,TRUE)-G160*_xlfn.NORM.DIST(L160,0,1,TRUE))</f>
        <v>1755.7099409255513</v>
      </c>
      <c r="N160" s="3">
        <f>EXP(-E160*J160)*(G160*_xlfn.NORM.DIST(-L160,0,1,TRUE)-D160*_xlfn.NORM.DIST(-K160,0,1,TRUE))</f>
        <v>166.61845069493333</v>
      </c>
      <c r="O160" s="3" t="b">
        <f>(M160-N160)=EXP(-E160*J160)*(D160-G160)</f>
        <v>1</v>
      </c>
    </row>
    <row r="161" spans="1:15" x14ac:dyDescent="0.3">
      <c r="A161" s="1">
        <v>45987</v>
      </c>
      <c r="B161" t="s">
        <v>16</v>
      </c>
      <c r="C161">
        <v>5655.58</v>
      </c>
      <c r="D161">
        <v>5629.6177200000002</v>
      </c>
      <c r="E161" s="2">
        <v>1.9594691353975281E-2</v>
      </c>
      <c r="F161" s="1">
        <v>46920</v>
      </c>
      <c r="G161">
        <v>4524.4639999999999</v>
      </c>
      <c r="H161">
        <v>0.21602099999999999</v>
      </c>
      <c r="J161" s="3">
        <f>(F161-A161)/365</f>
        <v>2.5561643835616437</v>
      </c>
      <c r="K161" s="3">
        <f>(LN(D161/G161)+H161^2*J161/2)/(H161*SQRT(J161))</f>
        <v>0.8054565723651318</v>
      </c>
      <c r="L161" s="3">
        <f>K161-H161*SQRT(J161)</f>
        <v>0.46008199870631683</v>
      </c>
      <c r="M161" s="3">
        <f>EXP(-E161*J161)*(D161*_xlfn.NORM.DIST(K161,0,1,TRUE)-G161*_xlfn.NORM.DIST(L161,0,1,TRUE))</f>
        <v>1314.0492621429933</v>
      </c>
      <c r="N161" s="3">
        <f>EXP(-E161*J161)*(G161*_xlfn.NORM.DIST(-L161,0,1,TRUE)-D161*_xlfn.NORM.DIST(-K161,0,1,TRUE))</f>
        <v>262.8862453128292</v>
      </c>
      <c r="O161" s="3" t="b">
        <f>(M161-N161)=EXP(-E161*J161)*(D161-G161)</f>
        <v>1</v>
      </c>
    </row>
    <row r="162" spans="1:15" x14ac:dyDescent="0.3">
      <c r="A162" s="1">
        <v>45987</v>
      </c>
      <c r="B162" t="s">
        <v>16</v>
      </c>
      <c r="C162">
        <v>5655.58</v>
      </c>
      <c r="D162">
        <v>5629.6177200000002</v>
      </c>
      <c r="E162" s="2">
        <v>1.9594691353975281E-2</v>
      </c>
      <c r="F162" s="1">
        <v>46920</v>
      </c>
      <c r="G162">
        <v>5090.0219999999999</v>
      </c>
      <c r="H162">
        <v>0.194079</v>
      </c>
      <c r="J162" s="3">
        <f>(F162-A162)/365</f>
        <v>2.5561643835616437</v>
      </c>
      <c r="K162" s="3">
        <f>(LN(D162/G162)+H162^2*J162/2)/(H162*SQRT(J162))</f>
        <v>0.47986948954072289</v>
      </c>
      <c r="L162" s="3">
        <f>K162-H162*SQRT(J162)</f>
        <v>0.16957580568068542</v>
      </c>
      <c r="M162" s="3">
        <f>EXP(-E162*J162)*(D162*_xlfn.NORM.DIST(K162,0,1,TRUE)-G162*_xlfn.NORM.DIST(L162,0,1,TRUE))</f>
        <v>917.72257557629439</v>
      </c>
      <c r="N162" s="3">
        <f>EXP(-E162*J162)*(G162*_xlfn.NORM.DIST(-L162,0,1,TRUE)-D162*_xlfn.NORM.DIST(-K162,0,1,TRUE))</f>
        <v>404.48803214658579</v>
      </c>
      <c r="O162" s="3" t="b">
        <f>(M162-N162)=EXP(-E162*J162)*(D162-G162)</f>
        <v>1</v>
      </c>
    </row>
    <row r="163" spans="1:15" x14ac:dyDescent="0.3">
      <c r="A163" s="1">
        <v>45987</v>
      </c>
      <c r="B163" t="s">
        <v>16</v>
      </c>
      <c r="C163">
        <v>5655.58</v>
      </c>
      <c r="D163">
        <v>5629.6177200000002</v>
      </c>
      <c r="E163" s="2">
        <v>1.9594691353975281E-2</v>
      </c>
      <c r="F163" s="1">
        <v>46920</v>
      </c>
      <c r="G163">
        <v>5372.8009999999995</v>
      </c>
      <c r="H163">
        <v>0.18405199999999999</v>
      </c>
      <c r="J163" s="3">
        <f>(F163-A163)/365</f>
        <v>2.5561643835616437</v>
      </c>
      <c r="K163" s="3">
        <f>(LN(D163/G163)+H163^2*J163/2)/(H163*SQRT(J163))</f>
        <v>0.30580646416587043</v>
      </c>
      <c r="L163" s="3">
        <f>K163-H163*SQRT(J163)</f>
        <v>1.1543957136219529E-2</v>
      </c>
      <c r="M163" s="3">
        <f>EXP(-E163*J163)*(D163*_xlfn.NORM.DIST(K163,0,1,TRUE)-G163*_xlfn.NORM.DIST(L163,0,1,TRUE))</f>
        <v>741.81559471294611</v>
      </c>
      <c r="N163" s="3">
        <f>EXP(-E163*J163)*(G163*_xlfn.NORM.DIST(-L163,0,1,TRUE)-D163*_xlfn.NORM.DIST(-K163,0,1,TRUE))</f>
        <v>497.54528798346371</v>
      </c>
      <c r="O163" s="3" t="b">
        <f>(M163-N163)=EXP(-E163*J163)*(D163-G163)</f>
        <v>1</v>
      </c>
    </row>
    <row r="164" spans="1:15" x14ac:dyDescent="0.3">
      <c r="A164" s="1">
        <v>45987</v>
      </c>
      <c r="B164" t="s">
        <v>16</v>
      </c>
      <c r="C164">
        <v>5655.58</v>
      </c>
      <c r="D164">
        <v>5629.6177200000002</v>
      </c>
      <c r="E164" s="2">
        <v>1.9594691353975281E-2</v>
      </c>
      <c r="F164" s="1">
        <v>46920</v>
      </c>
      <c r="G164">
        <v>5655.58</v>
      </c>
      <c r="H164">
        <v>0.174706</v>
      </c>
      <c r="J164" s="3">
        <f>(F164-A164)/365</f>
        <v>2.5561643835616437</v>
      </c>
      <c r="K164" s="3">
        <f>(LN(D164/G164)+H164^2*J164/2)/(H164*SQRT(J164))</f>
        <v>0.12318745468577998</v>
      </c>
      <c r="L164" s="3">
        <f>K164-H164*SQRT(J164)</f>
        <v>-0.15613265894038103</v>
      </c>
      <c r="M164" s="3">
        <f>EXP(-E164*J164)*(D164*_xlfn.NORM.DIST(K164,0,1,TRUE)-G164*_xlfn.NORM.DIST(L164,0,1,TRUE))</f>
        <v>583.84674634061366</v>
      </c>
      <c r="N164" s="3">
        <f>EXP(-E164*J164)*(G164*_xlfn.NORM.DIST(-L164,0,1,TRUE)-D164*_xlfn.NORM.DIST(-K164,0,1,TRUE))</f>
        <v>608.54067631135945</v>
      </c>
      <c r="O164" s="3" t="b">
        <f>(M164-N164)=EXP(-E164*J164)*(D164-G164)</f>
        <v>0</v>
      </c>
    </row>
    <row r="165" spans="1:15" x14ac:dyDescent="0.3">
      <c r="A165" s="1">
        <v>45987</v>
      </c>
      <c r="B165" t="s">
        <v>16</v>
      </c>
      <c r="C165">
        <v>5655.58</v>
      </c>
      <c r="D165">
        <v>5629.6177200000002</v>
      </c>
      <c r="E165" s="2">
        <v>1.9594691353975281E-2</v>
      </c>
      <c r="F165" s="1">
        <v>46920</v>
      </c>
      <c r="G165">
        <v>5938.3590000000004</v>
      </c>
      <c r="H165">
        <v>0.16612099999999999</v>
      </c>
      <c r="J165" s="3">
        <f>(F165-A165)/365</f>
        <v>2.5561643835616437</v>
      </c>
      <c r="K165" s="3">
        <f>(LN(D165/G165)+H165^2*J165/2)/(H165*SQRT(J165))</f>
        <v>-6.8228464280434262E-2</v>
      </c>
      <c r="L165" s="3">
        <f>K165-H165*SQRT(J165)</f>
        <v>-0.33382287200364635</v>
      </c>
      <c r="M165" s="3">
        <f>EXP(-E165*J165)*(D165*_xlfn.NORM.DIST(K165,0,1,TRUE)-G165*_xlfn.NORM.DIST(L165,0,1,TRUE))</f>
        <v>446.00734537443827</v>
      </c>
      <c r="N165" s="3">
        <f>EXP(-E165*J165)*(G165*_xlfn.NORM.DIST(-L165,0,1,TRUE)-D165*_xlfn.NORM.DIST(-K165,0,1,TRUE))</f>
        <v>739.66551204541213</v>
      </c>
      <c r="O165" s="3" t="b">
        <f>(M165-N165)=EXP(-E165*J165)*(D165-G165)</f>
        <v>0</v>
      </c>
    </row>
    <row r="166" spans="1:15" x14ac:dyDescent="0.3">
      <c r="A166" s="1">
        <v>45987</v>
      </c>
      <c r="B166" t="s">
        <v>16</v>
      </c>
      <c r="C166">
        <v>5655.58</v>
      </c>
      <c r="D166">
        <v>5629.6177200000002</v>
      </c>
      <c r="E166" s="2">
        <v>1.9594691353975281E-2</v>
      </c>
      <c r="F166" s="1">
        <v>46920</v>
      </c>
      <c r="G166">
        <v>6221.1380000000008</v>
      </c>
      <c r="H166">
        <v>0.158415</v>
      </c>
      <c r="J166" s="3">
        <f>(F166-A166)/365</f>
        <v>2.5561643835616437</v>
      </c>
      <c r="K166" s="3">
        <f>(LN(D166/G166)+H166^2*J166/2)/(H166*SQRT(J166))</f>
        <v>-0.26784203842304044</v>
      </c>
      <c r="L166" s="3">
        <f>K166-H166*SQRT(J166)</f>
        <v>-0.52111608625246986</v>
      </c>
      <c r="M166" s="3">
        <f>EXP(-E166*J166)*(D166*_xlfn.NORM.DIST(K166,0,1,TRUE)-G166*_xlfn.NORM.DIST(L166,0,1,TRUE))</f>
        <v>329.97953937532986</v>
      </c>
      <c r="N166" s="3">
        <f>EXP(-E166*J166)*(G166*_xlfn.NORM.DIST(-L166,0,1,TRUE)-D166*_xlfn.NORM.DIST(-K166,0,1,TRUE))</f>
        <v>892.60194274653077</v>
      </c>
      <c r="O166" s="3" t="b">
        <f>(M166-N166)=EXP(-E166*J166)*(D166-G166)</f>
        <v>1</v>
      </c>
    </row>
    <row r="167" spans="1:15" x14ac:dyDescent="0.3">
      <c r="A167" s="1">
        <v>45987</v>
      </c>
      <c r="B167" t="s">
        <v>16</v>
      </c>
      <c r="C167">
        <v>5655.58</v>
      </c>
      <c r="D167">
        <v>5629.6177200000002</v>
      </c>
      <c r="E167" s="2">
        <v>1.9594691353975281E-2</v>
      </c>
      <c r="F167" s="1">
        <v>46920</v>
      </c>
      <c r="G167">
        <v>6786.6959999999999</v>
      </c>
      <c r="H167">
        <v>0.14618600000000001</v>
      </c>
      <c r="J167" s="3">
        <f>(F167-A167)/365</f>
        <v>2.5561643835616437</v>
      </c>
      <c r="K167" s="3">
        <f>(LN(D167/G167)+H167^2*J167/2)/(H167*SQRT(J167))</f>
        <v>-0.68290282403253222</v>
      </c>
      <c r="L167" s="3">
        <f>K167-H167*SQRT(J167)</f>
        <v>-0.91662513540451696</v>
      </c>
      <c r="M167" s="3">
        <f>EXP(-E167*J167)*(D167*_xlfn.NORM.DIST(K167,0,1,TRUE)-G167*_xlfn.NORM.DIST(L167,0,1,TRUE))</f>
        <v>164.58060147871504</v>
      </c>
      <c r="N167" s="3">
        <f>EXP(-E167*J167)*(G167*_xlfn.NORM.DIST(-L167,0,1,TRUE)-D167*_xlfn.NORM.DIST(-K167,0,1,TRUE))</f>
        <v>1265.13147825037</v>
      </c>
      <c r="O167" s="3" t="b">
        <f>(M167-N167)=EXP(-E167*J167)*(D167-G167)</f>
        <v>0</v>
      </c>
    </row>
    <row r="168" spans="1:15" x14ac:dyDescent="0.3">
      <c r="A168" s="1">
        <v>45987</v>
      </c>
      <c r="B168" t="s">
        <v>16</v>
      </c>
      <c r="C168">
        <v>5655.58</v>
      </c>
      <c r="D168">
        <v>5629.6177200000002</v>
      </c>
      <c r="E168" s="2">
        <v>1.9594691353975281E-2</v>
      </c>
      <c r="F168" s="1">
        <v>46920</v>
      </c>
      <c r="G168">
        <v>7352.2539999999999</v>
      </c>
      <c r="H168">
        <v>0.138846</v>
      </c>
      <c r="J168" s="3">
        <f>(F168-A168)/365</f>
        <v>2.5561643835616437</v>
      </c>
      <c r="K168" s="3">
        <f>(LN(D168/G168)+H168^2*J168/2)/(H168*SQRT(J168))</f>
        <v>-1.0916230749933042</v>
      </c>
      <c r="L168" s="3">
        <f>K168-H168*SQRT(J168)</f>
        <v>-1.3136101876084287</v>
      </c>
      <c r="M168" s="3">
        <f>EXP(-E168*J168)*(D168*_xlfn.NORM.DIST(K168,0,1,TRUE)-G168*_xlfn.NORM.DIST(L168,0,1,TRUE))</f>
        <v>75.486875155952077</v>
      </c>
      <c r="N168" s="3">
        <f>EXP(-E168*J168)*(G168*_xlfn.NORM.DIST(-L168,0,1,TRUE)-D168*_xlfn.NORM.DIST(-K168,0,1,TRUE))</f>
        <v>1713.9662253280615</v>
      </c>
      <c r="O168" s="3" t="b">
        <f>(M168-N168)=EXP(-E168*J168)*(D168-G168)</f>
        <v>1</v>
      </c>
    </row>
    <row r="169" spans="1:15" x14ac:dyDescent="0.3">
      <c r="A169" s="1">
        <v>45987</v>
      </c>
      <c r="B169" t="s">
        <v>16</v>
      </c>
      <c r="C169">
        <v>5655.58</v>
      </c>
      <c r="D169">
        <v>5629.6177200000002</v>
      </c>
      <c r="E169" s="2">
        <v>1.9594691353975281E-2</v>
      </c>
      <c r="F169" s="1">
        <v>46920</v>
      </c>
      <c r="G169">
        <v>7917.8119999999999</v>
      </c>
      <c r="H169">
        <v>0.13611400000000001</v>
      </c>
      <c r="J169" s="3">
        <f>(F169-A169)/365</f>
        <v>2.5561643835616437</v>
      </c>
      <c r="K169" s="3">
        <f>(LN(D169/G169)+H169^2*J169/2)/(H169*SQRT(J169))</f>
        <v>-1.4584849447554078</v>
      </c>
      <c r="L169" s="3">
        <f>K169-H169*SQRT(J169)</f>
        <v>-1.6761041332555811</v>
      </c>
      <c r="M169" s="3">
        <f>EXP(-E169*J169)*(D169*_xlfn.NORM.DIST(K169,0,1,TRUE)-G169*_xlfn.NORM.DIST(L169,0,1,TRUE))</f>
        <v>34.528875277599845</v>
      </c>
      <c r="N169" s="3">
        <f>EXP(-E169*J169)*(G169*_xlfn.NORM.DIST(-L169,0,1,TRUE)-D169*_xlfn.NORM.DIST(-K169,0,1,TRUE))</f>
        <v>2210.9366988501633</v>
      </c>
      <c r="O169" s="3" t="b">
        <f>(M169-N169)=EXP(-E169*J169)*(D169-G169)</f>
        <v>1</v>
      </c>
    </row>
    <row r="170" spans="1:15" x14ac:dyDescent="0.3">
      <c r="A170" s="1">
        <v>45987</v>
      </c>
      <c r="B170" t="s">
        <v>16</v>
      </c>
      <c r="C170">
        <v>5655.58</v>
      </c>
      <c r="D170">
        <v>5629.6177200000002</v>
      </c>
      <c r="E170" s="2">
        <v>1.9594691353975281E-2</v>
      </c>
      <c r="F170" s="1">
        <v>46920</v>
      </c>
      <c r="G170">
        <v>8483.3700000000008</v>
      </c>
      <c r="H170">
        <v>0.13670299999999999</v>
      </c>
      <c r="J170" s="3">
        <f>(F170-A170)/365</f>
        <v>2.5561643835616437</v>
      </c>
      <c r="K170" s="3">
        <f>(LN(D170/G170)+H170^2*J170/2)/(H170*SQRT(J170))</f>
        <v>-1.7669301277551119</v>
      </c>
      <c r="L170" s="3">
        <f>K170-H170*SQRT(J170)</f>
        <v>-1.985491009997491</v>
      </c>
      <c r="M170" s="3">
        <f>EXP(-E170*J170)*(D170*_xlfn.NORM.DIST(K170,0,1,TRUE)-G170*_xlfn.NORM.DIST(L170,0,1,TRUE))</f>
        <v>16.811749860088547</v>
      </c>
      <c r="N170" s="3">
        <f>EXP(-E170*J170)*(G170*_xlfn.NORM.DIST(-L170,0,1,TRUE)-D170*_xlfn.NORM.DIST(-K170,0,1,TRUE))</f>
        <v>2731.1480468331079</v>
      </c>
      <c r="O170" s="3" t="b">
        <f>(M170-N170)=EXP(-E170*J170)*(D170-G170)</f>
        <v>1</v>
      </c>
    </row>
    <row r="171" spans="1:15" x14ac:dyDescent="0.3">
      <c r="A171" s="1">
        <v>45987</v>
      </c>
      <c r="B171" t="s">
        <v>16</v>
      </c>
      <c r="C171">
        <v>5655.58</v>
      </c>
      <c r="D171">
        <v>5674.9067800000003</v>
      </c>
      <c r="E171" s="2">
        <v>2.00008674281093E-2</v>
      </c>
      <c r="F171" s="1">
        <v>47102</v>
      </c>
      <c r="G171">
        <v>2827.79</v>
      </c>
      <c r="H171">
        <v>0.29241600000000001</v>
      </c>
      <c r="J171" s="3">
        <f>(F171-A171)/365</f>
        <v>3.0547945205479454</v>
      </c>
      <c r="K171" s="3">
        <f>(LN(D171/G171)+H171^2*J171/2)/(H171*SQRT(J171))</f>
        <v>1.6184468190864523</v>
      </c>
      <c r="L171" s="3">
        <f>K171-H171*SQRT(J171)</f>
        <v>1.1073629975360919</v>
      </c>
      <c r="M171" s="3">
        <f>EXP(-E171*J171)*(D171*_xlfn.NORM.DIST(K171,0,1,TRUE)-G171*_xlfn.NORM.DIST(L171,0,1,TRUE))</f>
        <v>2753.2311676210338</v>
      </c>
      <c r="N171" s="3">
        <f>EXP(-E171*J171)*(G171*_xlfn.NORM.DIST(-L171,0,1,TRUE)-D171*_xlfn.NORM.DIST(-K171,0,1,TRUE))</f>
        <v>74.861474798695582</v>
      </c>
      <c r="O171" s="3" t="b">
        <f>(M171-N171)=EXP(-E171*J171)*(D171-G171)</f>
        <v>1</v>
      </c>
    </row>
    <row r="172" spans="1:15" x14ac:dyDescent="0.3">
      <c r="A172" s="1">
        <v>45987</v>
      </c>
      <c r="B172" t="s">
        <v>16</v>
      </c>
      <c r="C172">
        <v>5655.58</v>
      </c>
      <c r="D172">
        <v>5674.9067800000003</v>
      </c>
      <c r="E172" s="2">
        <v>2.00008674281093E-2</v>
      </c>
      <c r="F172" s="1">
        <v>47102</v>
      </c>
      <c r="G172">
        <v>3393.348</v>
      </c>
      <c r="H172">
        <v>0.26299899999999998</v>
      </c>
      <c r="J172" s="3">
        <f>(F172-A172)/365</f>
        <v>3.0547945205479454</v>
      </c>
      <c r="K172" s="3">
        <f>(LN(D172/G172)+H172^2*J172/2)/(H172*SQRT(J172))</f>
        <v>1.3485464482936838</v>
      </c>
      <c r="L172" s="3">
        <f>K172-H172*SQRT(J172)</f>
        <v>0.88887757250055621</v>
      </c>
      <c r="M172" s="3">
        <f>EXP(-E172*J172)*(D172*_xlfn.NORM.DIST(K172,0,1,TRUE)-G172*_xlfn.NORM.DIST(L172,0,1,TRUE))</f>
        <v>2269.6374006470664</v>
      </c>
      <c r="N172" s="3">
        <f>EXP(-E172*J172)*(G172*_xlfn.NORM.DIST(-L172,0,1,TRUE)-D172*_xlfn.NORM.DIST(-K172,0,1,TRUE))</f>
        <v>123.30538796976806</v>
      </c>
      <c r="O172" s="3" t="b">
        <f>(M172-N172)=EXP(-E172*J172)*(D172-G172)</f>
        <v>1</v>
      </c>
    </row>
    <row r="173" spans="1:15" x14ac:dyDescent="0.3">
      <c r="A173" s="1">
        <v>45987</v>
      </c>
      <c r="B173" t="s">
        <v>16</v>
      </c>
      <c r="C173">
        <v>5655.58</v>
      </c>
      <c r="D173">
        <v>5674.9067800000003</v>
      </c>
      <c r="E173" s="2">
        <v>2.00008674281093E-2</v>
      </c>
      <c r="F173" s="1">
        <v>47102</v>
      </c>
      <c r="G173">
        <v>3958.9059999999999</v>
      </c>
      <c r="H173">
        <v>0.23730999999999999</v>
      </c>
      <c r="J173" s="3">
        <f>(F173-A173)/365</f>
        <v>3.0547945205479454</v>
      </c>
      <c r="K173" s="3">
        <f>(LN(D173/G173)+H173^2*J173/2)/(H173*SQRT(J173))</f>
        <v>1.0755447006610048</v>
      </c>
      <c r="L173" s="3">
        <f>K173-H173*SQRT(J173)</f>
        <v>0.66077498323064532</v>
      </c>
      <c r="M173" s="3">
        <f>EXP(-E173*J173)*(D173*_xlfn.NORM.DIST(K173,0,1,TRUE)-G173*_xlfn.NORM.DIST(L173,0,1,TRUE))</f>
        <v>1808.5800887827691</v>
      </c>
      <c r="N173" s="3">
        <f>EXP(-E173*J173)*(G173*_xlfn.NORM.DIST(-L173,0,1,TRUE)-D173*_xlfn.NORM.DIST(-K173,0,1,TRUE))</f>
        <v>194.28575625051053</v>
      </c>
      <c r="O173" s="3" t="b">
        <f>(M173-N173)=EXP(-E173*J173)*(D173-G173)</f>
        <v>1</v>
      </c>
    </row>
    <row r="174" spans="1:15" x14ac:dyDescent="0.3">
      <c r="A174" s="1">
        <v>45987</v>
      </c>
      <c r="B174" t="s">
        <v>16</v>
      </c>
      <c r="C174">
        <v>5655.58</v>
      </c>
      <c r="D174">
        <v>5674.9067800000003</v>
      </c>
      <c r="E174" s="2">
        <v>2.00008674281093E-2</v>
      </c>
      <c r="F174" s="1">
        <v>47102</v>
      </c>
      <c r="G174">
        <v>4524.4639999999999</v>
      </c>
      <c r="H174">
        <v>0.214504</v>
      </c>
      <c r="J174" s="3">
        <f>(F174-A174)/365</f>
        <v>3.0547945205479454</v>
      </c>
      <c r="K174" s="3">
        <f>(LN(D174/G174)+H174^2*J174/2)/(H174*SQRT(J174))</f>
        <v>0.79174735189195622</v>
      </c>
      <c r="L174" s="3">
        <f>K174-H174*SQRT(J174)</f>
        <v>0.41683789393535164</v>
      </c>
      <c r="M174" s="3">
        <f>EXP(-E174*J174)*(D174*_xlfn.NORM.DIST(K174,0,1,TRUE)-G174*_xlfn.NORM.DIST(L174,0,1,TRUE))</f>
        <v>1378.7751974615801</v>
      </c>
      <c r="N174" s="3">
        <f>EXP(-E174*J174)*(G174*_xlfn.NORM.DIST(-L174,0,1,TRUE)-D174*_xlfn.NORM.DIST(-K174,0,1,TRUE))</f>
        <v>296.51854507436167</v>
      </c>
      <c r="O174" s="3" t="b">
        <f>(M174-N174)=EXP(-E174*J174)*(D174-G174)</f>
        <v>1</v>
      </c>
    </row>
    <row r="175" spans="1:15" x14ac:dyDescent="0.3">
      <c r="A175" s="1">
        <v>45987</v>
      </c>
      <c r="B175" t="s">
        <v>16</v>
      </c>
      <c r="C175">
        <v>5655.58</v>
      </c>
      <c r="D175">
        <v>5674.9067800000003</v>
      </c>
      <c r="E175" s="2">
        <v>2.00008674281093E-2</v>
      </c>
      <c r="F175" s="1">
        <v>47102</v>
      </c>
      <c r="G175">
        <v>5090.0219999999999</v>
      </c>
      <c r="H175">
        <v>0.19417100000000001</v>
      </c>
      <c r="J175" s="3">
        <f>(F175-A175)/365</f>
        <v>3.0547945205479454</v>
      </c>
      <c r="K175" s="3">
        <f>(LN(D175/G175)+H175^2*J175/2)/(H175*SQRT(J175))</f>
        <v>0.49019582217616714</v>
      </c>
      <c r="L175" s="3">
        <f>K175-H175*SQRT(J175)</f>
        <v>0.1508243215939315</v>
      </c>
      <c r="M175" s="3">
        <f>EXP(-E175*J175)*(D175*_xlfn.NORM.DIST(K175,0,1,TRUE)-G175*_xlfn.NORM.DIST(L175,0,1,TRUE))</f>
        <v>991.74416092100944</v>
      </c>
      <c r="N175" s="3">
        <f>EXP(-E175*J175)*(G175*_xlfn.NORM.DIST(-L175,0,1,TRUE)-D175*_xlfn.NORM.DIST(-K175,0,1,TRUE))</f>
        <v>441.52518867883072</v>
      </c>
      <c r="O175" s="3" t="b">
        <f>(M175-N175)=EXP(-E175*J175)*(D175-G175)</f>
        <v>1</v>
      </c>
    </row>
    <row r="176" spans="1:15" x14ac:dyDescent="0.3">
      <c r="A176" s="1">
        <v>45987</v>
      </c>
      <c r="B176" t="s">
        <v>16</v>
      </c>
      <c r="C176">
        <v>5655.58</v>
      </c>
      <c r="D176">
        <v>5674.9067800000003</v>
      </c>
      <c r="E176" s="2">
        <v>2.00008674281093E-2</v>
      </c>
      <c r="F176" s="1">
        <v>47102</v>
      </c>
      <c r="G176">
        <v>5372.8009999999995</v>
      </c>
      <c r="H176">
        <v>0.18490599999999999</v>
      </c>
      <c r="J176" s="3">
        <f>(F176-A176)/365</f>
        <v>3.0547945205479454</v>
      </c>
      <c r="K176" s="3">
        <f>(LN(D176/G176)+H176^2*J176/2)/(H176*SQRT(J176))</f>
        <v>0.3308603041752376</v>
      </c>
      <c r="L176" s="3">
        <f>K176-H176*SQRT(J176)</f>
        <v>7.6821432415304369E-3</v>
      </c>
      <c r="M176" s="3">
        <f>EXP(-E176*J176)*(D176*_xlfn.NORM.DIST(K176,0,1,TRUE)-G176*_xlfn.NORM.DIST(L176,0,1,TRUE))</f>
        <v>818.6205401067981</v>
      </c>
      <c r="N176" s="3">
        <f>EXP(-E176*J176)*(G176*_xlfn.NORM.DIST(-L176,0,1,TRUE)-D176*_xlfn.NORM.DIST(-K176,0,1,TRUE))</f>
        <v>534.42040793713875</v>
      </c>
      <c r="O176" s="3" t="b">
        <f>(M176-N176)=EXP(-E176*J176)*(D176-G176)</f>
        <v>1</v>
      </c>
    </row>
    <row r="177" spans="1:15" x14ac:dyDescent="0.3">
      <c r="A177" s="1">
        <v>45987</v>
      </c>
      <c r="B177" t="s">
        <v>16</v>
      </c>
      <c r="C177">
        <v>5655.58</v>
      </c>
      <c r="D177">
        <v>5674.9067800000003</v>
      </c>
      <c r="E177" s="2">
        <v>2.00008674281093E-2</v>
      </c>
      <c r="F177" s="1">
        <v>47102</v>
      </c>
      <c r="G177">
        <v>5655.58</v>
      </c>
      <c r="H177">
        <v>0.17627599999999999</v>
      </c>
      <c r="J177" s="3">
        <f>(F177-A177)/365</f>
        <v>3.0547945205479454</v>
      </c>
      <c r="K177" s="3">
        <f>(LN(D177/G177)+H177^2*J177/2)/(H177*SQRT(J177))</f>
        <v>0.16512012874282689</v>
      </c>
      <c r="L177" s="3">
        <f>K177-H177*SQRT(J177)</f>
        <v>-0.1429745436677502</v>
      </c>
      <c r="M177" s="3">
        <f>EXP(-E177*J177)*(D177*_xlfn.NORM.DIST(K177,0,1,TRUE)-G177*_xlfn.NORM.DIST(L177,0,1,TRUE))</f>
        <v>661.60417336711896</v>
      </c>
      <c r="N177" s="3">
        <f>EXP(-E177*J177)*(G177*_xlfn.NORM.DIST(-L177,0,1,TRUE)-D177*_xlfn.NORM.DIST(-K177,0,1,TRUE))</f>
        <v>643.42288126998005</v>
      </c>
      <c r="O177" s="3" t="b">
        <f>(M177-N177)=EXP(-E177*J177)*(D177-G177)</f>
        <v>0</v>
      </c>
    </row>
    <row r="178" spans="1:15" x14ac:dyDescent="0.3">
      <c r="A178" s="1">
        <v>45987</v>
      </c>
      <c r="B178" t="s">
        <v>16</v>
      </c>
      <c r="C178">
        <v>5655.58</v>
      </c>
      <c r="D178">
        <v>5674.9067800000003</v>
      </c>
      <c r="E178" s="2">
        <v>2.00008674281093E-2</v>
      </c>
      <c r="F178" s="1">
        <v>47102</v>
      </c>
      <c r="G178">
        <v>5938.3590000000004</v>
      </c>
      <c r="H178">
        <v>0.16833600000000001</v>
      </c>
      <c r="J178" s="3">
        <f>(F178-A178)/365</f>
        <v>3.0547945205479454</v>
      </c>
      <c r="K178" s="3">
        <f>(LN(D178/G178)+H178^2*J178/2)/(H178*SQRT(J178))</f>
        <v>-7.1267970921812312E-3</v>
      </c>
      <c r="L178" s="3">
        <f>K178-H178*SQRT(J178)</f>
        <v>-0.30134396094265953</v>
      </c>
      <c r="M178" s="3">
        <f>EXP(-E178*J178)*(D178*_xlfn.NORM.DIST(K178,0,1,TRUE)-G178*_xlfn.NORM.DIST(L178,0,1,TRUE))</f>
        <v>522.46556686418523</v>
      </c>
      <c r="N178" s="3">
        <f>EXP(-E178*J178)*(G178*_xlfn.NORM.DIST(-L178,0,1,TRUE)-D178*_xlfn.NORM.DIST(-K178,0,1,TRUE))</f>
        <v>770.303114839567</v>
      </c>
      <c r="O178" s="3" t="b">
        <f>(M178-N178)=EXP(-E178*J178)*(D178-G178)</f>
        <v>0</v>
      </c>
    </row>
    <row r="179" spans="1:15" x14ac:dyDescent="0.3">
      <c r="A179" s="1">
        <v>45987</v>
      </c>
      <c r="B179" t="s">
        <v>16</v>
      </c>
      <c r="C179">
        <v>5655.58</v>
      </c>
      <c r="D179">
        <v>5674.9067800000003</v>
      </c>
      <c r="E179" s="2">
        <v>2.00008674281093E-2</v>
      </c>
      <c r="F179" s="1">
        <v>47102</v>
      </c>
      <c r="G179">
        <v>6221.1380000000008</v>
      </c>
      <c r="H179">
        <v>0.161167</v>
      </c>
      <c r="J179" s="3">
        <f>(F179-A179)/365</f>
        <v>3.0547945205479454</v>
      </c>
      <c r="K179" s="3">
        <f>(LN(D179/G179)+H179^2*J179/2)/(H179*SQRT(J179))</f>
        <v>-0.18540022020884683</v>
      </c>
      <c r="L179" s="3">
        <f>K179-H179*SQRT(J179)</f>
        <v>-0.4670874270231351</v>
      </c>
      <c r="M179" s="3">
        <f>EXP(-E179*J179)*(D179*_xlfn.NORM.DIST(K179,0,1,TRUE)-G179*_xlfn.NORM.DIST(L179,0,1,TRUE))</f>
        <v>402.61615044553236</v>
      </c>
      <c r="N179" s="3">
        <f>EXP(-E179*J179)*(G179*_xlfn.NORM.DIST(-L179,0,1,TRUE)-D179*_xlfn.NORM.DIST(-K179,0,1,TRUE))</f>
        <v>916.47253849343429</v>
      </c>
      <c r="O179" s="3" t="b">
        <f>(M179-N179)=EXP(-E179*J179)*(D179-G179)</f>
        <v>1</v>
      </c>
    </row>
    <row r="180" spans="1:15" x14ac:dyDescent="0.3">
      <c r="A180" s="1">
        <v>45987</v>
      </c>
      <c r="B180" t="s">
        <v>16</v>
      </c>
      <c r="C180">
        <v>5655.58</v>
      </c>
      <c r="D180">
        <v>5674.9067800000003</v>
      </c>
      <c r="E180" s="2">
        <v>2.00008674281093E-2</v>
      </c>
      <c r="F180" s="1">
        <v>47102</v>
      </c>
      <c r="G180">
        <v>6786.6959999999999</v>
      </c>
      <c r="H180">
        <v>0.14952399999999999</v>
      </c>
      <c r="J180" s="3">
        <f>(F180-A180)/365</f>
        <v>3.0547945205479454</v>
      </c>
      <c r="K180" s="3">
        <f>(LN(D180/G180)+H180^2*J180/2)/(H180*SQRT(J180))</f>
        <v>-0.55392493502850848</v>
      </c>
      <c r="L180" s="3">
        <f>K180-H180*SQRT(J180)</f>
        <v>-0.81526254081443017</v>
      </c>
      <c r="M180" s="3">
        <f>EXP(-E180*J180)*(D180*_xlfn.NORM.DIST(K180,0,1,TRUE)-G180*_xlfn.NORM.DIST(L180,0,1,TRUE))</f>
        <v>222.66982339583225</v>
      </c>
      <c r="N180" s="3">
        <f>EXP(-E180*J180)*(G180*_xlfn.NORM.DIST(-L180,0,1,TRUE)-D180*_xlfn.NORM.DIST(-K180,0,1,TRUE))</f>
        <v>1268.5638915887728</v>
      </c>
      <c r="O180" s="3" t="b">
        <f>(M180-N180)=EXP(-E180*J180)*(D180-G180)</f>
        <v>1</v>
      </c>
    </row>
    <row r="181" spans="1:15" x14ac:dyDescent="0.3">
      <c r="A181" s="1">
        <v>45987</v>
      </c>
      <c r="B181" t="s">
        <v>16</v>
      </c>
      <c r="C181">
        <v>5655.58</v>
      </c>
      <c r="D181">
        <v>5674.9067800000003</v>
      </c>
      <c r="E181" s="2">
        <v>2.00008674281093E-2</v>
      </c>
      <c r="F181" s="1">
        <v>47102</v>
      </c>
      <c r="G181">
        <v>7352.2539999999999</v>
      </c>
      <c r="H181">
        <v>0.14196400000000001</v>
      </c>
      <c r="J181" s="3">
        <f>(F181-A181)/365</f>
        <v>3.0547945205479454</v>
      </c>
      <c r="K181" s="3">
        <f>(LN(D181/G181)+H181^2*J181/2)/(H181*SQRT(J181))</f>
        <v>-0.91957945489182158</v>
      </c>
      <c r="L181" s="3">
        <f>K181-H181*SQRT(J181)</f>
        <v>-1.1677037149958356</v>
      </c>
      <c r="M181" s="3">
        <f>EXP(-E181*J181)*(D181*_xlfn.NORM.DIST(K181,0,1,TRUE)-G181*_xlfn.NORM.DIST(L181,0,1,TRUE))</f>
        <v>114.9495669945173</v>
      </c>
      <c r="N181" s="3">
        <f>EXP(-E181*J181)*(G181*_xlfn.NORM.DIST(-L181,0,1,TRUE)-D181*_xlfn.NORM.DIST(-K181,0,1,TRUE))</f>
        <v>1692.8813153324975</v>
      </c>
      <c r="O181" s="3" t="b">
        <f>(M181-N181)=EXP(-E181*J181)*(D181-G181)</f>
        <v>1</v>
      </c>
    </row>
    <row r="182" spans="1:15" x14ac:dyDescent="0.3">
      <c r="A182" s="1">
        <v>45987</v>
      </c>
      <c r="B182" t="s">
        <v>16</v>
      </c>
      <c r="C182">
        <v>5655.58</v>
      </c>
      <c r="D182">
        <v>5674.9067800000003</v>
      </c>
      <c r="E182" s="2">
        <v>2.00008674281093E-2</v>
      </c>
      <c r="F182" s="1">
        <v>47102</v>
      </c>
      <c r="G182">
        <v>7917.8119999999999</v>
      </c>
      <c r="H182">
        <v>0.138403</v>
      </c>
      <c r="J182" s="3">
        <f>(F182-A182)/365</f>
        <v>3.0547945205479454</v>
      </c>
      <c r="K182" s="3">
        <f>(LN(D182/G182)+H182^2*J182/2)/(H182*SQRT(J182))</f>
        <v>-1.2559009168544111</v>
      </c>
      <c r="L182" s="3">
        <f>K182-H182*SQRT(J182)</f>
        <v>-1.497801271670955</v>
      </c>
      <c r="M182" s="3">
        <f>EXP(-E182*J182)*(D182*_xlfn.NORM.DIST(K182,0,1,TRUE)-G182*_xlfn.NORM.DIST(L182,0,1,TRUE))</f>
        <v>58.544849552734142</v>
      </c>
      <c r="N182" s="3">
        <f>EXP(-E182*J182)*(G182*_xlfn.NORM.DIST(-L182,0,1,TRUE)-D182*_xlfn.NORM.DIST(-K182,0,1,TRUE))</f>
        <v>2168.5142780357551</v>
      </c>
      <c r="O182" s="3" t="b">
        <f>(M182-N182)=EXP(-E182*J182)*(D182-G182)</f>
        <v>1</v>
      </c>
    </row>
    <row r="183" spans="1:15" x14ac:dyDescent="0.3">
      <c r="A183" s="1">
        <v>45987</v>
      </c>
      <c r="B183" t="s">
        <v>16</v>
      </c>
      <c r="C183">
        <v>5655.58</v>
      </c>
      <c r="D183">
        <v>5674.9067800000003</v>
      </c>
      <c r="E183" s="2">
        <v>2.00008674281093E-2</v>
      </c>
      <c r="F183" s="1">
        <v>47102</v>
      </c>
      <c r="G183">
        <v>8483.3700000000008</v>
      </c>
      <c r="H183">
        <v>0.13797300000000001</v>
      </c>
      <c r="J183" s="3">
        <f>(F183-A183)/365</f>
        <v>3.0547945205479454</v>
      </c>
      <c r="K183" s="3">
        <f>(LN(D183/G183)+H183^2*J183/2)/(H183*SQRT(J183))</f>
        <v>-1.5466685470489885</v>
      </c>
      <c r="L183" s="3">
        <f>K183-H183*SQRT(J183)</f>
        <v>-1.7878173491349478</v>
      </c>
      <c r="M183" s="3">
        <f>EXP(-E183*J183)*(D183*_xlfn.NORM.DIST(K183,0,1,TRUE)-G183*_xlfn.NORM.DIST(L183,0,1,TRUE))</f>
        <v>30.995679064420504</v>
      </c>
      <c r="N183" s="3">
        <f>EXP(-E183*J183)*(G183*_xlfn.NORM.DIST(-L183,0,1,TRUE)-D183*_xlfn.NORM.DIST(-K183,0,1,TRUE))</f>
        <v>2673.0027876924814</v>
      </c>
      <c r="O183" s="3" t="b">
        <f>(M183-N183)=EXP(-E183*J183)*(D183-G183)</f>
        <v>1</v>
      </c>
    </row>
    <row r="184" spans="1:15" x14ac:dyDescent="0.3">
      <c r="A184" s="1">
        <v>45987</v>
      </c>
      <c r="B184" t="s">
        <v>16</v>
      </c>
      <c r="C184">
        <v>5655.58</v>
      </c>
      <c r="D184">
        <v>5722.6476199999997</v>
      </c>
      <c r="E184" s="2">
        <v>2.0881618994756764E-2</v>
      </c>
      <c r="F184" s="1">
        <v>47473</v>
      </c>
      <c r="G184">
        <v>2827.79</v>
      </c>
      <c r="H184">
        <v>0.28081800000000001</v>
      </c>
      <c r="J184" s="3">
        <f>(F184-A184)/365</f>
        <v>4.0712328767123287</v>
      </c>
      <c r="K184" s="3">
        <f>(LN(D184/G184)+H184^2*J184/2)/(H184*SQRT(J184))</f>
        <v>1.5274261217114888</v>
      </c>
      <c r="L184" s="3">
        <f>K184-H184*SQRT(J184)</f>
        <v>0.960811321295864</v>
      </c>
      <c r="M184" s="3">
        <f>EXP(-E184*J184)*(D184*_xlfn.NORM.DIST(K184,0,1,TRUE)-G184*_xlfn.NORM.DIST(L184,0,1,TRUE))</f>
        <v>2763.2505788430512</v>
      </c>
      <c r="N184" s="3">
        <f>EXP(-E184*J184)*(G184*_xlfn.NORM.DIST(-L184,0,1,TRUE)-D184*_xlfn.NORM.DIST(-K184,0,1,TRUE))</f>
        <v>104.32534239184858</v>
      </c>
      <c r="O184" s="3" t="b">
        <f>(M184-N184)=EXP(-E184*J184)*(D184-G184)</f>
        <v>1</v>
      </c>
    </row>
    <row r="185" spans="1:15" x14ac:dyDescent="0.3">
      <c r="A185" s="1">
        <v>45987</v>
      </c>
      <c r="B185" t="s">
        <v>16</v>
      </c>
      <c r="C185">
        <v>5655.58</v>
      </c>
      <c r="D185">
        <v>5722.6476199999997</v>
      </c>
      <c r="E185" s="2">
        <v>2.0881618994756764E-2</v>
      </c>
      <c r="F185" s="1">
        <v>47473</v>
      </c>
      <c r="G185">
        <v>3393.348</v>
      </c>
      <c r="H185">
        <v>0.25435000000000002</v>
      </c>
      <c r="J185" s="3">
        <f>(F185-A185)/365</f>
        <v>4.0712328767123287</v>
      </c>
      <c r="K185" s="3">
        <f>(LN(D185/G185)+H185^2*J185/2)/(H185*SQRT(J185))</f>
        <v>1.2749305985286377</v>
      </c>
      <c r="L185" s="3">
        <f>K185-H185*SQRT(J185)</f>
        <v>0.76172106607090995</v>
      </c>
      <c r="M185" s="3">
        <f>EXP(-E185*J185)*(D185*_xlfn.NORM.DIST(K185,0,1,TRUE)-G185*_xlfn.NORM.DIST(L185,0,1,TRUE))</f>
        <v>2303.0988649247224</v>
      </c>
      <c r="N185" s="3">
        <f>EXP(-E185*J185)*(G185*_xlfn.NORM.DIST(-L185,0,1,TRUE)-D185*_xlfn.NORM.DIST(-K185,0,1,TRUE))</f>
        <v>163.63836086228238</v>
      </c>
      <c r="O185" s="3" t="b">
        <f>(M185-N185)=EXP(-E185*J185)*(D185-G185)</f>
        <v>1</v>
      </c>
    </row>
    <row r="186" spans="1:15" x14ac:dyDescent="0.3">
      <c r="A186" s="1">
        <v>45987</v>
      </c>
      <c r="B186" t="s">
        <v>16</v>
      </c>
      <c r="C186">
        <v>5655.58</v>
      </c>
      <c r="D186">
        <v>5722.6476199999997</v>
      </c>
      <c r="E186" s="2">
        <v>2.0881618994756764E-2</v>
      </c>
      <c r="F186" s="1">
        <v>47473</v>
      </c>
      <c r="G186">
        <v>3958.9059999999999</v>
      </c>
      <c r="H186">
        <v>0.23136799999999999</v>
      </c>
      <c r="J186" s="3">
        <f>(F186-A186)/365</f>
        <v>4.0712328767123287</v>
      </c>
      <c r="K186" s="3">
        <f>(LN(D186/G186)+H186^2*J186/2)/(H186*SQRT(J186))</f>
        <v>1.0226945207253975</v>
      </c>
      <c r="L186" s="3">
        <f>K186-H186*SQRT(J186)</f>
        <v>0.55585645072075995</v>
      </c>
      <c r="M186" s="3">
        <f>EXP(-E186*J186)*(D186*_xlfn.NORM.DIST(K186,0,1,TRUE)-G186*_xlfn.NORM.DIST(L186,0,1,TRUE))</f>
        <v>1866.0399207514934</v>
      </c>
      <c r="N186" s="3">
        <f>EXP(-E186*J186)*(G186*_xlfn.NORM.DIST(-L186,0,1,TRUE)-D186*_xlfn.NORM.DIST(-K186,0,1,TRUE))</f>
        <v>246.04414907781521</v>
      </c>
      <c r="O186" s="3" t="b">
        <f>(M186-N186)=EXP(-E186*J186)*(D186-G186)</f>
        <v>1</v>
      </c>
    </row>
    <row r="187" spans="1:15" x14ac:dyDescent="0.3">
      <c r="A187" s="1">
        <v>45987</v>
      </c>
      <c r="B187" t="s">
        <v>16</v>
      </c>
      <c r="C187">
        <v>5655.58</v>
      </c>
      <c r="D187">
        <v>5722.6476199999997</v>
      </c>
      <c r="E187" s="2">
        <v>2.0881618994756764E-2</v>
      </c>
      <c r="F187" s="1">
        <v>47473</v>
      </c>
      <c r="G187">
        <v>4524.4639999999999</v>
      </c>
      <c r="H187">
        <v>0.21110599999999999</v>
      </c>
      <c r="J187" s="3">
        <f>(F187-A187)/365</f>
        <v>4.0712328767123287</v>
      </c>
      <c r="K187" s="3">
        <f>(LN(D187/G187)+H187^2*J187/2)/(H187*SQRT(J187))</f>
        <v>0.76452052369599721</v>
      </c>
      <c r="L187" s="3">
        <f>K187-H187*SQRT(J187)</f>
        <v>0.33856569153943711</v>
      </c>
      <c r="M187" s="3">
        <f>EXP(-E187*J187)*(D187*_xlfn.NORM.DIST(K187,0,1,TRUE)-G187*_xlfn.NORM.DIST(L187,0,1,TRUE))</f>
        <v>1459.2748936762898</v>
      </c>
      <c r="N187" s="3">
        <f>EXP(-E187*J187)*(G187*_xlfn.NORM.DIST(-L187,0,1,TRUE)-D187*_xlfn.NORM.DIST(-K187,0,1,TRUE))</f>
        <v>358.7438543913745</v>
      </c>
      <c r="O187" s="3" t="b">
        <f>(M187-N187)=EXP(-E187*J187)*(D187-G187)</f>
        <v>1</v>
      </c>
    </row>
    <row r="188" spans="1:15" x14ac:dyDescent="0.3">
      <c r="A188" s="1">
        <v>45987</v>
      </c>
      <c r="B188" t="s">
        <v>16</v>
      </c>
      <c r="C188">
        <v>5655.58</v>
      </c>
      <c r="D188">
        <v>5722.6476199999997</v>
      </c>
      <c r="E188" s="2">
        <v>2.0881618994756764E-2</v>
      </c>
      <c r="F188" s="1">
        <v>47473</v>
      </c>
      <c r="G188">
        <v>5090.0219999999999</v>
      </c>
      <c r="H188">
        <v>0.19318299999999999</v>
      </c>
      <c r="J188" s="3">
        <f>(F188-A188)/365</f>
        <v>4.0712328767123287</v>
      </c>
      <c r="K188" s="3">
        <f>(LN(D188/G188)+H188^2*J188/2)/(H188*SQRT(J188))</f>
        <v>0.49543966192950978</v>
      </c>
      <c r="L188" s="3">
        <f>K188-H188*SQRT(J188)</f>
        <v>0.10564859800664284</v>
      </c>
      <c r="M188" s="3">
        <f>EXP(-E188*J188)*(D188*_xlfn.NORM.DIST(K188,0,1,TRUE)-G188*_xlfn.NORM.DIST(L188,0,1,TRUE))</f>
        <v>1091.7765949890934</v>
      </c>
      <c r="N188" s="3">
        <f>EXP(-E188*J188)*(G188*_xlfn.NORM.DIST(-L188,0,1,TRUE)-D188*_xlfn.NORM.DIST(-K188,0,1,TRUE))</f>
        <v>510.71028809293989</v>
      </c>
      <c r="O188" s="3" t="b">
        <f>(M188-N188)=EXP(-E188*J188)*(D188-G188)</f>
        <v>1</v>
      </c>
    </row>
    <row r="189" spans="1:15" x14ac:dyDescent="0.3">
      <c r="A189" s="1">
        <v>45987</v>
      </c>
      <c r="B189" t="s">
        <v>16</v>
      </c>
      <c r="C189">
        <v>5655.58</v>
      </c>
      <c r="D189">
        <v>5722.6476199999997</v>
      </c>
      <c r="E189" s="2">
        <v>2.0881618994756764E-2</v>
      </c>
      <c r="F189" s="1">
        <v>47473</v>
      </c>
      <c r="G189">
        <v>5372.8009999999995</v>
      </c>
      <c r="H189">
        <v>0.185061</v>
      </c>
      <c r="J189" s="3">
        <f>(F189-A189)/365</f>
        <v>4.0712328767123287</v>
      </c>
      <c r="K189" s="3">
        <f>(LN(D189/G189)+H189^2*J189/2)/(H189*SQRT(J189))</f>
        <v>0.35564014280583772</v>
      </c>
      <c r="L189" s="3">
        <f>K189-H189*SQRT(J189)</f>
        <v>-1.7762921028090128E-2</v>
      </c>
      <c r="M189" s="3">
        <f>EXP(-E189*J189)*(D189*_xlfn.NORM.DIST(K189,0,1,TRUE)-G189*_xlfn.NORM.DIST(L189,0,1,TRUE))</f>
        <v>925.96511621973093</v>
      </c>
      <c r="N189" s="3">
        <f>EXP(-E189*J189)*(G189*_xlfn.NORM.DIST(-L189,0,1,TRUE)-D189*_xlfn.NORM.DIST(-K189,0,1,TRUE))</f>
        <v>604.6311755179587</v>
      </c>
      <c r="O189" s="3" t="b">
        <f>(M189-N189)=EXP(-E189*J189)*(D189-G189)</f>
        <v>0</v>
      </c>
    </row>
    <row r="190" spans="1:15" x14ac:dyDescent="0.3">
      <c r="A190" s="1">
        <v>45987</v>
      </c>
      <c r="B190" t="s">
        <v>16</v>
      </c>
      <c r="C190">
        <v>5655.58</v>
      </c>
      <c r="D190">
        <v>5722.6476199999997</v>
      </c>
      <c r="E190" s="2">
        <v>2.0881618994756764E-2</v>
      </c>
      <c r="F190" s="1">
        <v>47473</v>
      </c>
      <c r="G190">
        <v>5655.58</v>
      </c>
      <c r="H190">
        <v>0.17751400000000001</v>
      </c>
      <c r="J190" s="3">
        <f>(F190-A190)/365</f>
        <v>4.0712328767123287</v>
      </c>
      <c r="K190" s="3">
        <f>(LN(D190/G190)+H190^2*J190/2)/(H190*SQRT(J190))</f>
        <v>0.21200140597510073</v>
      </c>
      <c r="L190" s="3">
        <f>K190-H190*SQRT(J190)</f>
        <v>-0.14617385230955063</v>
      </c>
      <c r="M190" s="3">
        <f>EXP(-E190*J190)*(D190*_xlfn.NORM.DIST(K190,0,1,TRUE)-G190*_xlfn.NORM.DIST(L190,0,1,TRUE))</f>
        <v>773.89746370272917</v>
      </c>
      <c r="N190" s="3">
        <f>EXP(-E190*J190)*(G190*_xlfn.NORM.DIST(-L190,0,1,TRUE)-D190*_xlfn.NORM.DIST(-K190,0,1,TRUE))</f>
        <v>712.29588919533796</v>
      </c>
      <c r="O190" s="3" t="b">
        <f>(M190-N190)=EXP(-E190*J190)*(D190-G190)</f>
        <v>0</v>
      </c>
    </row>
    <row r="191" spans="1:15" x14ac:dyDescent="0.3">
      <c r="A191" s="1">
        <v>45987</v>
      </c>
      <c r="B191" t="s">
        <v>16</v>
      </c>
      <c r="C191">
        <v>5655.58</v>
      </c>
      <c r="D191">
        <v>5722.6476199999997</v>
      </c>
      <c r="E191" s="2">
        <v>2.0881618994756764E-2</v>
      </c>
      <c r="F191" s="1">
        <v>47473</v>
      </c>
      <c r="G191">
        <v>5938.3590000000004</v>
      </c>
      <c r="H191">
        <v>0.17057</v>
      </c>
      <c r="J191" s="3">
        <f>(F191-A191)/365</f>
        <v>4.0712328767123287</v>
      </c>
      <c r="K191" s="3">
        <f>(LN(D191/G191)+H191^2*J191/2)/(H191*SQRT(J191))</f>
        <v>6.4571558836936077E-2</v>
      </c>
      <c r="L191" s="3">
        <f>K191-H191*SQRT(J191)</f>
        <v>-0.27959258486785898</v>
      </c>
      <c r="M191" s="3">
        <f>EXP(-E191*J191)*(D191*_xlfn.NORM.DIST(K191,0,1,TRUE)-G191*_xlfn.NORM.DIST(L191,0,1,TRUE))</f>
        <v>636.79746123897519</v>
      </c>
      <c r="N191" s="3">
        <f>EXP(-E191*J191)*(G191*_xlfn.NORM.DIST(-L191,0,1,TRUE)-D191*_xlfn.NORM.DIST(-K191,0,1,TRUE))</f>
        <v>834.92825292596569</v>
      </c>
      <c r="O191" s="3" t="b">
        <f>(M191-N191)=EXP(-E191*J191)*(D191-G191)</f>
        <v>0</v>
      </c>
    </row>
    <row r="192" spans="1:15" x14ac:dyDescent="0.3">
      <c r="A192" s="1">
        <v>45987</v>
      </c>
      <c r="B192" t="s">
        <v>16</v>
      </c>
      <c r="C192">
        <v>5655.58</v>
      </c>
      <c r="D192">
        <v>5722.6476199999997</v>
      </c>
      <c r="E192" s="2">
        <v>2.0881618994756764E-2</v>
      </c>
      <c r="F192" s="1">
        <v>47473</v>
      </c>
      <c r="G192">
        <v>6221.1380000000008</v>
      </c>
      <c r="H192">
        <v>0.164273</v>
      </c>
      <c r="J192" s="3">
        <f>(F192-A192)/365</f>
        <v>4.0712328767123287</v>
      </c>
      <c r="K192" s="3">
        <f>(LN(D192/G192)+H192^2*J192/2)/(H192*SQRT(J192))</f>
        <v>-8.6251855336884731E-2</v>
      </c>
      <c r="L192" s="3">
        <f>K192-H192*SQRT(J192)</f>
        <v>-0.41771035553514818</v>
      </c>
      <c r="M192" s="3">
        <f>EXP(-E192*J192)*(D192*_xlfn.NORM.DIST(K192,0,1,TRUE)-G192*_xlfn.NORM.DIST(L192,0,1,TRUE))</f>
        <v>515.65963293686548</v>
      </c>
      <c r="N192" s="3">
        <f>EXP(-E192*J192)*(G192*_xlfn.NORM.DIST(-L192,0,1,TRUE)-D192*_xlfn.NORM.DIST(-K192,0,1,TRUE))</f>
        <v>973.52279081823747</v>
      </c>
      <c r="O192" s="3" t="b">
        <f>(M192-N192)=EXP(-E192*J192)*(D192-G192)</f>
        <v>1</v>
      </c>
    </row>
    <row r="193" spans="1:15" x14ac:dyDescent="0.3">
      <c r="A193" s="1">
        <v>45987</v>
      </c>
      <c r="B193" t="s">
        <v>16</v>
      </c>
      <c r="C193">
        <v>5655.58</v>
      </c>
      <c r="D193">
        <v>5722.6476199999997</v>
      </c>
      <c r="E193" s="2">
        <v>2.0881618994756764E-2</v>
      </c>
      <c r="F193" s="1">
        <v>47473</v>
      </c>
      <c r="G193">
        <v>6786.6959999999999</v>
      </c>
      <c r="H193">
        <v>0.15382499999999999</v>
      </c>
      <c r="J193" s="3">
        <f>(F193-A193)/365</f>
        <v>4.0712328767123287</v>
      </c>
      <c r="K193" s="3">
        <f>(LN(D193/G193)+H193^2*J193/2)/(H193*SQRT(J193))</f>
        <v>-0.39424806386439315</v>
      </c>
      <c r="L193" s="3">
        <f>K193-H193*SQRT(J193)</f>
        <v>-0.70462532484457774</v>
      </c>
      <c r="M193" s="3">
        <f>EXP(-E193*J193)*(D193*_xlfn.NORM.DIST(K193,0,1,TRUE)-G193*_xlfn.NORM.DIST(L193,0,1,TRUE))</f>
        <v>323.02539045170062</v>
      </c>
      <c r="N193" s="3">
        <f>EXP(-E193*J193)*(G193*_xlfn.NORM.DIST(-L193,0,1,TRUE)-D193*_xlfn.NORM.DIST(-K193,0,1,TRUE))</f>
        <v>1300.3532807218339</v>
      </c>
      <c r="O193" s="3" t="b">
        <f>(M193-N193)=EXP(-E193*J193)*(D193-G193)</f>
        <v>1</v>
      </c>
    </row>
    <row r="194" spans="1:15" x14ac:dyDescent="0.3">
      <c r="A194" s="1">
        <v>45987</v>
      </c>
      <c r="B194" t="s">
        <v>16</v>
      </c>
      <c r="C194">
        <v>5655.58</v>
      </c>
      <c r="D194">
        <v>5722.6476199999997</v>
      </c>
      <c r="E194" s="2">
        <v>2.0881618994756764E-2</v>
      </c>
      <c r="F194" s="1">
        <v>47473</v>
      </c>
      <c r="G194">
        <v>7352.2539999999999</v>
      </c>
      <c r="H194">
        <v>0.146504</v>
      </c>
      <c r="J194" s="3">
        <f>(F194-A194)/365</f>
        <v>4.0712328767123287</v>
      </c>
      <c r="K194" s="3">
        <f>(LN(D194/G194)+H194^2*J194/2)/(H194*SQRT(J194))</f>
        <v>-0.69986551547691622</v>
      </c>
      <c r="L194" s="3">
        <f>K194-H194*SQRT(J194)</f>
        <v>-0.9954709778051527</v>
      </c>
      <c r="M194" s="3">
        <f>EXP(-E194*J194)*(D194*_xlfn.NORM.DIST(K194,0,1,TRUE)-G194*_xlfn.NORM.DIST(L194,0,1,TRUE))</f>
        <v>193.21904622806667</v>
      </c>
      <c r="N194" s="3">
        <f>EXP(-E194*J194)*(G194*_xlfn.NORM.DIST(-L194,0,1,TRUE)-D194*_xlfn.NORM.DIST(-K194,0,1,TRUE))</f>
        <v>1690.0116688869634</v>
      </c>
      <c r="O194" s="3" t="b">
        <f>(M194-N194)=EXP(-E194*J194)*(D194-G194)</f>
        <v>1</v>
      </c>
    </row>
    <row r="195" spans="1:15" x14ac:dyDescent="0.3">
      <c r="A195" s="1">
        <v>45987</v>
      </c>
      <c r="B195" t="s">
        <v>16</v>
      </c>
      <c r="C195">
        <v>5655.58</v>
      </c>
      <c r="D195">
        <v>5722.6476199999997</v>
      </c>
      <c r="E195" s="2">
        <v>2.0881618994756764E-2</v>
      </c>
      <c r="F195" s="1">
        <v>47473</v>
      </c>
      <c r="G195">
        <v>7917.8119999999999</v>
      </c>
      <c r="H195">
        <v>0.14230200000000001</v>
      </c>
      <c r="J195" s="3">
        <f>(F195-A195)/365</f>
        <v>4.0712328767123287</v>
      </c>
      <c r="K195" s="3">
        <f>(LN(D195/G195)+H195^2*J195/2)/(H195*SQRT(J195))</f>
        <v>-0.98723710047396462</v>
      </c>
      <c r="L195" s="3">
        <f>K195-H195*SQRT(J195)</f>
        <v>-1.27436406287931</v>
      </c>
      <c r="M195" s="3">
        <f>EXP(-E195*J195)*(D195*_xlfn.NORM.DIST(K195,0,1,TRUE)-G195*_xlfn.NORM.DIST(L195,0,1,TRUE))</f>
        <v>113.801262635797</v>
      </c>
      <c r="N195" s="3">
        <f>EXP(-E195*J195)*(G195*_xlfn.NORM.DIST(-L195,0,1,TRUE)-D195*_xlfn.NORM.DIST(-K195,0,1,TRUE))</f>
        <v>2130.0586176834549</v>
      </c>
      <c r="O195" s="3" t="b">
        <f>(M195-N195)=EXP(-E195*J195)*(D195-G195)</f>
        <v>1</v>
      </c>
    </row>
    <row r="196" spans="1:15" x14ac:dyDescent="0.3">
      <c r="A196" s="1">
        <v>45987</v>
      </c>
      <c r="B196" t="s">
        <v>16</v>
      </c>
      <c r="C196">
        <v>5655.58</v>
      </c>
      <c r="D196">
        <v>5722.6476199999997</v>
      </c>
      <c r="E196" s="2">
        <v>2.0881618994756764E-2</v>
      </c>
      <c r="F196" s="1">
        <v>47473</v>
      </c>
      <c r="G196">
        <v>8483.3700000000008</v>
      </c>
      <c r="H196">
        <v>0.14074600000000001</v>
      </c>
      <c r="J196" s="3">
        <f>(F196-A196)/365</f>
        <v>4.0712328767123287</v>
      </c>
      <c r="K196" s="3">
        <f>(LN(D196/G196)+H196^2*J196/2)/(H196*SQRT(J196))</f>
        <v>-1.2442517660011905</v>
      </c>
      <c r="L196" s="3">
        <f>K196-H196*SQRT(J196)</f>
        <v>-1.528239141095727</v>
      </c>
      <c r="M196" s="3">
        <f>EXP(-E196*J196)*(D196*_xlfn.NORM.DIST(K196,0,1,TRUE)-G196*_xlfn.NORM.DIST(L196,0,1,TRUE))</f>
        <v>68.200205070650597</v>
      </c>
      <c r="N196" s="3">
        <f>EXP(-E196*J196)*(G196*_xlfn.NORM.DIST(-L196,0,1,TRUE)-D196*_xlfn.NORM.DIST(-K196,0,1,TRUE))</f>
        <v>2603.9222925070712</v>
      </c>
      <c r="O196" s="3" t="b">
        <f>(M196-N196)=EXP(-E196*J196)*(D196-G196)</f>
        <v>1</v>
      </c>
    </row>
    <row r="197" spans="1:15" x14ac:dyDescent="0.3">
      <c r="A197" s="1">
        <v>45987</v>
      </c>
      <c r="B197" t="s">
        <v>16</v>
      </c>
      <c r="C197">
        <v>5655.58</v>
      </c>
      <c r="D197">
        <v>5784.3126400000001</v>
      </c>
      <c r="E197" s="2">
        <v>2.1699395527155555E-2</v>
      </c>
      <c r="F197" s="1">
        <v>47837</v>
      </c>
      <c r="G197">
        <v>2827.79</v>
      </c>
      <c r="H197">
        <v>0.27427800000000002</v>
      </c>
      <c r="J197" s="3">
        <f>(F197-A197)/365</f>
        <v>5.0684931506849313</v>
      </c>
      <c r="K197" s="3">
        <f>(LN(D197/G197)+H197^2*J197/2)/(H197*SQRT(J197))</f>
        <v>1.4677167586324638</v>
      </c>
      <c r="L197" s="3">
        <f>K197-H197*SQRT(J197)</f>
        <v>0.85022608014833101</v>
      </c>
      <c r="M197" s="3">
        <f>EXP(-E197*J197)*(D197*_xlfn.NORM.DIST(K197,0,1,TRUE)-G197*_xlfn.NORM.DIST(L197,0,1,TRUE))</f>
        <v>2780.7900451493465</v>
      </c>
      <c r="N197" s="3">
        <f>EXP(-E197*J197)*(G197*_xlfn.NORM.DIST(-L197,0,1,TRUE)-D197*_xlfn.NORM.DIST(-K197,0,1,TRUE))</f>
        <v>132.1917459772863</v>
      </c>
      <c r="O197" s="3" t="b">
        <f>(M197-N197)=EXP(-E197*J197)*(D197-G197)</f>
        <v>1</v>
      </c>
    </row>
    <row r="198" spans="1:15" x14ac:dyDescent="0.3">
      <c r="A198" s="1">
        <v>45987</v>
      </c>
      <c r="B198" t="s">
        <v>16</v>
      </c>
      <c r="C198">
        <v>5655.58</v>
      </c>
      <c r="D198">
        <v>5784.3126400000001</v>
      </c>
      <c r="E198" s="2">
        <v>2.1699395527155555E-2</v>
      </c>
      <c r="F198" s="1">
        <v>47837</v>
      </c>
      <c r="G198">
        <v>3393.348</v>
      </c>
      <c r="H198">
        <v>0.249776</v>
      </c>
      <c r="J198" s="3">
        <f>(F198-A198)/365</f>
        <v>5.0684931506849313</v>
      </c>
      <c r="K198" s="3">
        <f>(LN(D198/G198)+H198^2*J198/2)/(H198*SQRT(J198))</f>
        <v>1.2296000021937887</v>
      </c>
      <c r="L198" s="3">
        <f>K198-H198*SQRT(J198)</f>
        <v>0.66727144609722711</v>
      </c>
      <c r="M198" s="3">
        <f>EXP(-E198*J198)*(D198*_xlfn.NORM.DIST(K198,0,1,TRUE)-G198*_xlfn.NORM.DIST(L198,0,1,TRUE))</f>
        <v>2341.8972381649546</v>
      </c>
      <c r="N198" s="3">
        <f>EXP(-E198*J198)*(G198*_xlfn.NORM.DIST(-L198,0,1,TRUE)-D198*_xlfn.NORM.DIST(-K198,0,1,TRUE))</f>
        <v>199.95359355801259</v>
      </c>
      <c r="O198" s="3" t="b">
        <f>(M198-N198)=EXP(-E198*J198)*(D198-G198)</f>
        <v>1</v>
      </c>
    </row>
    <row r="199" spans="1:15" x14ac:dyDescent="0.3">
      <c r="A199" s="1">
        <v>45987</v>
      </c>
      <c r="B199" t="s">
        <v>16</v>
      </c>
      <c r="C199">
        <v>5655.58</v>
      </c>
      <c r="D199">
        <v>5784.3126400000001</v>
      </c>
      <c r="E199" s="2">
        <v>2.1699395527155555E-2</v>
      </c>
      <c r="F199" s="1">
        <v>47837</v>
      </c>
      <c r="G199">
        <v>3958.9059999999999</v>
      </c>
      <c r="H199">
        <v>0.22859299999999999</v>
      </c>
      <c r="J199" s="3">
        <f>(F199-A199)/365</f>
        <v>5.0684931506849313</v>
      </c>
      <c r="K199" s="3">
        <f>(LN(D199/G199)+H199^2*J199/2)/(H199*SQRT(J199))</f>
        <v>0.99411170188239595</v>
      </c>
      <c r="L199" s="3">
        <f>K199-H199*SQRT(J199)</f>
        <v>0.47947309919926662</v>
      </c>
      <c r="M199" s="3">
        <f>EXP(-E199*J199)*(D199*_xlfn.NORM.DIST(K199,0,1,TRUE)-G199*_xlfn.NORM.DIST(L199,0,1,TRUE))</f>
        <v>1925.7674997703482</v>
      </c>
      <c r="N199" s="3">
        <f>EXP(-E199*J199)*(G199*_xlfn.NORM.DIST(-L199,0,1,TRUE)-D199*_xlfn.NORM.DIST(-K199,0,1,TRUE))</f>
        <v>290.47850972852501</v>
      </c>
      <c r="O199" s="3" t="b">
        <f>(M199-N199)=EXP(-E199*J199)*(D199-G199)</f>
        <v>1</v>
      </c>
    </row>
    <row r="200" spans="1:15" x14ac:dyDescent="0.3">
      <c r="A200" s="1">
        <v>45987</v>
      </c>
      <c r="B200" t="s">
        <v>16</v>
      </c>
      <c r="C200">
        <v>5655.58</v>
      </c>
      <c r="D200">
        <v>5784.3126400000001</v>
      </c>
      <c r="E200" s="2">
        <v>2.1699395527155555E-2</v>
      </c>
      <c r="F200" s="1">
        <v>47837</v>
      </c>
      <c r="G200">
        <v>4524.4639999999999</v>
      </c>
      <c r="H200">
        <v>0.210012</v>
      </c>
      <c r="J200" s="3">
        <f>(F200-A200)/365</f>
        <v>5.0684931506849313</v>
      </c>
      <c r="K200" s="3">
        <f>(LN(D200/G200)+H200^2*J200/2)/(H200*SQRT(J200))</f>
        <v>0.75596122284090683</v>
      </c>
      <c r="L200" s="3">
        <f>K200-H200*SQRT(J200)</f>
        <v>0.28315460922330105</v>
      </c>
      <c r="M200" s="3">
        <f>EXP(-E200*J200)*(D200*_xlfn.NORM.DIST(K200,0,1,TRUE)-G200*_xlfn.NORM.DIST(L200,0,1,TRUE))</f>
        <v>1538.3627670317253</v>
      </c>
      <c r="N200" s="3">
        <f>EXP(-E200*J200)*(G200*_xlfn.NORM.DIST(-L200,0,1,TRUE)-D200*_xlfn.NORM.DIST(-K200,0,1,TRUE))</f>
        <v>409.7284315550209</v>
      </c>
      <c r="O200" s="3" t="b">
        <f>(M200-N200)=EXP(-E200*J200)*(D200-G200)</f>
        <v>0</v>
      </c>
    </row>
    <row r="201" spans="1:15" x14ac:dyDescent="0.3">
      <c r="A201" s="1">
        <v>45987</v>
      </c>
      <c r="B201" t="s">
        <v>16</v>
      </c>
      <c r="C201">
        <v>5655.58</v>
      </c>
      <c r="D201">
        <v>5784.3126400000001</v>
      </c>
      <c r="E201" s="2">
        <v>2.1699395527155555E-2</v>
      </c>
      <c r="F201" s="1">
        <v>47837</v>
      </c>
      <c r="G201">
        <v>5090.0219999999999</v>
      </c>
      <c r="H201">
        <v>0.193661</v>
      </c>
      <c r="J201" s="3">
        <f>(F201-A201)/365</f>
        <v>5.0684931506849313</v>
      </c>
      <c r="K201" s="3">
        <f>(LN(D201/G201)+H201^2*J201/2)/(H201*SQRT(J201))</f>
        <v>0.51127466178819647</v>
      </c>
      <c r="L201" s="3">
        <f>K201-H201*SQRT(J201)</f>
        <v>7.5279568175454559E-2</v>
      </c>
      <c r="M201" s="3">
        <f>EXP(-E201*J201)*(D201*_xlfn.NORM.DIST(K201,0,1,TRUE)-G201*_xlfn.NORM.DIST(L201,0,1,TRUE))</f>
        <v>1186.8200715334665</v>
      </c>
      <c r="N201" s="3">
        <f>EXP(-E201*J201)*(G201*_xlfn.NORM.DIST(-L201,0,1,TRUE)-D201*_xlfn.NORM.DIST(-K201,0,1,TRUE))</f>
        <v>564.84039062187946</v>
      </c>
      <c r="O201" s="3" t="b">
        <f>(M201-N201)=EXP(-E201*J201)*(D201-G201)</f>
        <v>1</v>
      </c>
    </row>
    <row r="202" spans="1:15" x14ac:dyDescent="0.3">
      <c r="A202" s="1">
        <v>45987</v>
      </c>
      <c r="B202" t="s">
        <v>16</v>
      </c>
      <c r="C202">
        <v>5655.58</v>
      </c>
      <c r="D202">
        <v>5784.3126400000001</v>
      </c>
      <c r="E202" s="2">
        <v>2.1699395527155555E-2</v>
      </c>
      <c r="F202" s="1">
        <v>47837</v>
      </c>
      <c r="G202">
        <v>5372.8009999999995</v>
      </c>
      <c r="H202">
        <v>0.186277</v>
      </c>
      <c r="J202" s="3">
        <f>(F202-A202)/365</f>
        <v>5.0684931506849313</v>
      </c>
      <c r="K202" s="3">
        <f>(LN(D202/G202)+H202^2*J202/2)/(H202*SQRT(J202))</f>
        <v>0.38566374069006676</v>
      </c>
      <c r="L202" s="3">
        <f>K202-H202*SQRT(J202)</f>
        <v>-3.3707521737064816E-2</v>
      </c>
      <c r="M202" s="3">
        <f>EXP(-E202*J202)*(D202*_xlfn.NORM.DIST(K202,0,1,TRUE)-G202*_xlfn.NORM.DIST(L202,0,1,TRUE))</f>
        <v>1026.9785516846475</v>
      </c>
      <c r="N202" s="3">
        <f>EXP(-E202*J202)*(G202*_xlfn.NORM.DIST(-L202,0,1,TRUE)-D202*_xlfn.NORM.DIST(-K202,0,1,TRUE))</f>
        <v>658.3261980556199</v>
      </c>
      <c r="O202" s="3" t="b">
        <f>(M202-N202)=EXP(-E202*J202)*(D202-G202)</f>
        <v>1</v>
      </c>
    </row>
    <row r="203" spans="1:15" x14ac:dyDescent="0.3">
      <c r="A203" s="1">
        <v>45987</v>
      </c>
      <c r="B203" t="s">
        <v>16</v>
      </c>
      <c r="C203">
        <v>5655.58</v>
      </c>
      <c r="D203">
        <v>5784.3126400000001</v>
      </c>
      <c r="E203" s="2">
        <v>2.1699395527155555E-2</v>
      </c>
      <c r="F203" s="1">
        <v>47837</v>
      </c>
      <c r="G203">
        <v>5655.58</v>
      </c>
      <c r="H203">
        <v>0.179421</v>
      </c>
      <c r="J203" s="3">
        <f>(F203-A203)/365</f>
        <v>5.0684931506849313</v>
      </c>
      <c r="K203" s="3">
        <f>(LN(D203/G203)+H203^2*J203/2)/(H203*SQRT(J203))</f>
        <v>0.25768694353103222</v>
      </c>
      <c r="L203" s="3">
        <f>K203-H203*SQRT(J203)</f>
        <v>-0.14624919069884251</v>
      </c>
      <c r="M203" s="3">
        <f>EXP(-E203*J203)*(D203*_xlfn.NORM.DIST(K203,0,1,TRUE)-G203*_xlfn.NORM.DIST(L203,0,1,TRUE))</f>
        <v>879.09030548299882</v>
      </c>
      <c r="N203" s="3">
        <f>EXP(-E203*J203)*(G203*_xlfn.NORM.DIST(-L203,0,1,TRUE)-D203*_xlfn.NORM.DIST(-K203,0,1,TRUE))</f>
        <v>763.76527913653069</v>
      </c>
      <c r="O203" s="3" t="b">
        <f>(M203-N203)=EXP(-E203*J203)*(D203-G203)</f>
        <v>1</v>
      </c>
    </row>
    <row r="204" spans="1:15" x14ac:dyDescent="0.3">
      <c r="A204" s="1">
        <v>45987</v>
      </c>
      <c r="B204" t="s">
        <v>16</v>
      </c>
      <c r="C204">
        <v>5655.58</v>
      </c>
      <c r="D204">
        <v>5784.3126400000001</v>
      </c>
      <c r="E204" s="2">
        <v>2.1699395527155555E-2</v>
      </c>
      <c r="F204" s="1">
        <v>47837</v>
      </c>
      <c r="G204">
        <v>5938.3590000000004</v>
      </c>
      <c r="H204">
        <v>0.17310900000000001</v>
      </c>
      <c r="J204" s="3">
        <f>(F204-A204)/365</f>
        <v>5.0684931506849313</v>
      </c>
      <c r="K204" s="3">
        <f>(LN(D204/G204)+H204^2*J204/2)/(H204*SQRT(J204))</f>
        <v>0.12742236898402418</v>
      </c>
      <c r="L204" s="3">
        <f>K204-H204*SQRT(J204)</f>
        <v>-0.26230336133962462</v>
      </c>
      <c r="M204" s="3">
        <f>EXP(-E204*J204)*(D204*_xlfn.NORM.DIST(K204,0,1,TRUE)-G204*_xlfn.NORM.DIST(L204,0,1,TRUE))</f>
        <v>744.07791389228589</v>
      </c>
      <c r="N204" s="3">
        <f>EXP(-E204*J204)*(G204*_xlfn.NORM.DIST(-L204,0,1,TRUE)-D204*_xlfn.NORM.DIST(-K204,0,1,TRUE))</f>
        <v>882.08021482837694</v>
      </c>
      <c r="O204" s="3" t="b">
        <f>(M204-N204)=EXP(-E204*J204)*(D204-G204)</f>
        <v>1</v>
      </c>
    </row>
    <row r="205" spans="1:15" x14ac:dyDescent="0.3">
      <c r="A205" s="1">
        <v>45987</v>
      </c>
      <c r="B205" t="s">
        <v>16</v>
      </c>
      <c r="C205">
        <v>5655.58</v>
      </c>
      <c r="D205">
        <v>5784.3126400000001</v>
      </c>
      <c r="E205" s="2">
        <v>2.1699395527155555E-2</v>
      </c>
      <c r="F205" s="1">
        <v>47837</v>
      </c>
      <c r="G205">
        <v>6221.1380000000008</v>
      </c>
      <c r="H205">
        <v>0.16736400000000001</v>
      </c>
      <c r="J205" s="3">
        <f>(F205-A205)/365</f>
        <v>5.0684931506849313</v>
      </c>
      <c r="K205" s="3">
        <f>(LN(D205/G205)+H205^2*J205/2)/(H205*SQRT(J205))</f>
        <v>-4.8230084390408039E-3</v>
      </c>
      <c r="L205" s="3">
        <f>K205-H205*SQRT(J205)</f>
        <v>-0.38161483977009325</v>
      </c>
      <c r="M205" s="3">
        <f>EXP(-E205*J205)*(D205*_xlfn.NORM.DIST(K205,0,1,TRUE)-G205*_xlfn.NORM.DIST(L205,0,1,TRUE))</f>
        <v>622.68995353700586</v>
      </c>
      <c r="N205" s="3">
        <f>EXP(-E205*J205)*(G205*_xlfn.NORM.DIST(-L205,0,1,TRUE)-D205*_xlfn.NORM.DIST(-K205,0,1,TRUE))</f>
        <v>1014.0195817556565</v>
      </c>
      <c r="O205" s="3" t="b">
        <f>(M205-N205)=EXP(-E205*J205)*(D205-G205)</f>
        <v>1</v>
      </c>
    </row>
    <row r="206" spans="1:15" x14ac:dyDescent="0.3">
      <c r="A206" s="1">
        <v>45987</v>
      </c>
      <c r="B206" t="s">
        <v>16</v>
      </c>
      <c r="C206">
        <v>5655.58</v>
      </c>
      <c r="D206">
        <v>5784.3126400000001</v>
      </c>
      <c r="E206" s="2">
        <v>2.1699395527155555E-2</v>
      </c>
      <c r="F206" s="1">
        <v>47837</v>
      </c>
      <c r="G206">
        <v>6786.6959999999999</v>
      </c>
      <c r="H206">
        <v>0.157697</v>
      </c>
      <c r="J206" s="3">
        <f>(F206-A206)/365</f>
        <v>5.0684931506849313</v>
      </c>
      <c r="K206" s="3">
        <f>(LN(D206/G206)+H206^2*J206/2)/(H206*SQRT(J206))</f>
        <v>-0.27263234653023966</v>
      </c>
      <c r="L206" s="3">
        <f>K206-H206*SQRT(J206)</f>
        <v>-0.6276605570499032</v>
      </c>
      <c r="M206" s="3">
        <f>EXP(-E206*J206)*(D206*_xlfn.NORM.DIST(K206,0,1,TRUE)-G206*_xlfn.NORM.DIST(L206,0,1,TRUE))</f>
        <v>422.38673061503613</v>
      </c>
      <c r="N206" s="3">
        <f>EXP(-E206*J206)*(G206*_xlfn.NORM.DIST(-L206,0,1,TRUE)-D206*_xlfn.NORM.DIST(-K206,0,1,TRUE))</f>
        <v>1320.371013398805</v>
      </c>
      <c r="O206" s="3" t="b">
        <f>(M206-N206)=EXP(-E206*J206)*(D206-G206)</f>
        <v>1</v>
      </c>
    </row>
    <row r="207" spans="1:15" x14ac:dyDescent="0.3">
      <c r="A207" s="1">
        <v>45987</v>
      </c>
      <c r="B207" t="s">
        <v>16</v>
      </c>
      <c r="C207">
        <v>5655.58</v>
      </c>
      <c r="D207">
        <v>5784.3126400000001</v>
      </c>
      <c r="E207" s="2">
        <v>2.1699395527155555E-2</v>
      </c>
      <c r="F207" s="1">
        <v>47837</v>
      </c>
      <c r="G207">
        <v>7352.2539999999999</v>
      </c>
      <c r="H207">
        <v>0.15060999999999999</v>
      </c>
      <c r="J207" s="3">
        <f>(F207-A207)/365</f>
        <v>5.0684931506849313</v>
      </c>
      <c r="K207" s="3">
        <f>(LN(D207/G207)+H207^2*J207/2)/(H207*SQRT(J207))</f>
        <v>-0.53785505051335902</v>
      </c>
      <c r="L207" s="3">
        <f>K207-H207*SQRT(J207)</f>
        <v>-0.87692807527836103</v>
      </c>
      <c r="M207" s="3">
        <f>EXP(-E207*J207)*(D207*_xlfn.NORM.DIST(K207,0,1,TRUE)-G207*_xlfn.NORM.DIST(L207,0,1,TRUE))</f>
        <v>277.23821512733684</v>
      </c>
      <c r="N207" s="3">
        <f>EXP(-E207*J207)*(G207*_xlfn.NORM.DIST(-L207,0,1,TRUE)-D207*_xlfn.NORM.DIST(-K207,0,1,TRUE))</f>
        <v>1681.8771524762235</v>
      </c>
      <c r="O207" s="3" t="b">
        <f>(M207-N207)=EXP(-E207*J207)*(D207-G207)</f>
        <v>1</v>
      </c>
    </row>
    <row r="208" spans="1:15" x14ac:dyDescent="0.3">
      <c r="A208" s="1">
        <v>45987</v>
      </c>
      <c r="B208" t="s">
        <v>16</v>
      </c>
      <c r="C208">
        <v>5655.58</v>
      </c>
      <c r="D208">
        <v>5784.3126400000001</v>
      </c>
      <c r="E208" s="2">
        <v>2.1699395527155555E-2</v>
      </c>
      <c r="F208" s="1">
        <v>47837</v>
      </c>
      <c r="G208">
        <v>7917.8119999999999</v>
      </c>
      <c r="H208">
        <v>0.14610300000000001</v>
      </c>
      <c r="J208" s="3">
        <f>(F208-A208)/365</f>
        <v>5.0684931506849313</v>
      </c>
      <c r="K208" s="3">
        <f>(LN(D208/G208)+H208^2*J208/2)/(H208*SQRT(J208))</f>
        <v>-0.79005279505052328</v>
      </c>
      <c r="L208" s="3">
        <f>K208-H208*SQRT(J208)</f>
        <v>-1.1189790691175912</v>
      </c>
      <c r="M208" s="3">
        <f>EXP(-E208*J208)*(D208*_xlfn.NORM.DIST(K208,0,1,TRUE)-G208*_xlfn.NORM.DIST(L208,0,1,TRUE))</f>
        <v>179.51907905177563</v>
      </c>
      <c r="N208" s="3">
        <f>EXP(-E208*J208)*(G208*_xlfn.NORM.DIST(-L208,0,1,TRUE)-D208*_xlfn.NORM.DIST(-K208,0,1,TRUE))</f>
        <v>2090.8126709657813</v>
      </c>
      <c r="O208" s="3" t="b">
        <f>(M208-N208)=EXP(-E208*J208)*(D208-G208)</f>
        <v>1</v>
      </c>
    </row>
    <row r="209" spans="1:15" x14ac:dyDescent="0.3">
      <c r="A209" s="1">
        <v>45987</v>
      </c>
      <c r="B209" t="s">
        <v>16</v>
      </c>
      <c r="C209">
        <v>5655.58</v>
      </c>
      <c r="D209">
        <v>5784.3126400000001</v>
      </c>
      <c r="E209" s="2">
        <v>2.1699395527155555E-2</v>
      </c>
      <c r="F209" s="1">
        <v>47837</v>
      </c>
      <c r="G209">
        <v>8483.3700000000008</v>
      </c>
      <c r="H209">
        <v>0.14388000000000001</v>
      </c>
      <c r="J209" s="3">
        <f>(F209-A209)/365</f>
        <v>5.0684931506849313</v>
      </c>
      <c r="K209" s="3">
        <f>(LN(D209/G209)+H209^2*J209/2)/(H209*SQRT(J209))</f>
        <v>-1.0202953030760686</v>
      </c>
      <c r="L209" s="3">
        <f>K209-H209*SQRT(J209)</f>
        <v>-1.3442168674023982</v>
      </c>
      <c r="M209" s="3">
        <f>EXP(-E209*J209)*(D209*_xlfn.NORM.DIST(K209,0,1,TRUE)-G209*_xlfn.NORM.DIST(L209,0,1,TRUE))</f>
        <v>117.22056513415433</v>
      </c>
      <c r="N209" s="3">
        <f>EXP(-E209*J209)*(G209*_xlfn.NORM.DIST(-L209,0,1,TRUE)-D209*_xlfn.NORM.DIST(-K209,0,1,TRUE))</f>
        <v>2535.1688116132786</v>
      </c>
      <c r="O209" s="3" t="b">
        <f>(M209-N209)=EXP(-E209*J209)*(D209-G209)</f>
        <v>1</v>
      </c>
    </row>
    <row r="210" spans="1:15" x14ac:dyDescent="0.3">
      <c r="A210" s="1">
        <v>45987</v>
      </c>
      <c r="B210" t="s">
        <v>16</v>
      </c>
      <c r="C210">
        <v>5655.58</v>
      </c>
      <c r="D210">
        <v>5867.9710999999998</v>
      </c>
      <c r="E210" s="2">
        <v>2.2494418777670812E-2</v>
      </c>
      <c r="F210" s="1">
        <v>48201</v>
      </c>
      <c r="G210">
        <v>2827.79</v>
      </c>
      <c r="H210">
        <v>0.27131499999999997</v>
      </c>
      <c r="J210" s="3">
        <f>(F210-A210)/365</f>
        <v>6.065753424657534</v>
      </c>
      <c r="K210" s="3">
        <f>(LN(D210/G210)+H210^2*J210/2)/(H210*SQRT(J210))</f>
        <v>1.4265904484064056</v>
      </c>
      <c r="L210" s="3">
        <f>K210-H210*SQRT(J210)</f>
        <v>0.75837550902174233</v>
      </c>
      <c r="M210" s="3">
        <f>EXP(-E210*J210)*(D210*_xlfn.NORM.DIST(K210,0,1,TRUE)-G210*_xlfn.NORM.DIST(L210,0,1,TRUE))</f>
        <v>2811.8995693502238</v>
      </c>
      <c r="N210" s="3">
        <f>EXP(-E210*J210)*(G210*_xlfn.NORM.DIST(-L210,0,1,TRUE)-D210*_xlfn.NORM.DIST(-K210,0,1,TRUE))</f>
        <v>159.48206938518229</v>
      </c>
      <c r="O210" s="3" t="b">
        <f>(M210-N210)=EXP(-E210*J210)*(D210-G210)</f>
        <v>1</v>
      </c>
    </row>
    <row r="211" spans="1:15" x14ac:dyDescent="0.3">
      <c r="A211" s="1">
        <v>45987</v>
      </c>
      <c r="B211" t="s">
        <v>16</v>
      </c>
      <c r="C211">
        <v>5655.58</v>
      </c>
      <c r="D211">
        <v>5867.9710999999998</v>
      </c>
      <c r="E211" s="2">
        <v>2.2494418777670812E-2</v>
      </c>
      <c r="F211" s="1">
        <v>48201</v>
      </c>
      <c r="G211">
        <v>3393.348</v>
      </c>
      <c r="H211">
        <v>0.24799399999999999</v>
      </c>
      <c r="J211" s="3">
        <f>(F211-A211)/365</f>
        <v>6.065753424657534</v>
      </c>
      <c r="K211" s="3">
        <f>(LN(D211/G211)+H211^2*J211/2)/(H211*SQRT(J211))</f>
        <v>1.2021006598086279</v>
      </c>
      <c r="L211" s="3">
        <f>K211-H211*SQRT(J211)</f>
        <v>0.59132242905190535</v>
      </c>
      <c r="M211" s="3">
        <f>EXP(-E211*J211)*(D211*_xlfn.NORM.DIST(K211,0,1,TRUE)-G211*_xlfn.NORM.DIST(L211,0,1,TRUE))</f>
        <v>2392.4969512770813</v>
      </c>
      <c r="N211" s="3">
        <f>EXP(-E211*J211)*(G211*_xlfn.NORM.DIST(-L211,0,1,TRUE)-D211*_xlfn.NORM.DIST(-K211,0,1,TRUE))</f>
        <v>233.50266759518411</v>
      </c>
      <c r="O211" s="3" t="b">
        <f>(M211-N211)=EXP(-E211*J211)*(D211-G211)</f>
        <v>1</v>
      </c>
    </row>
    <row r="212" spans="1:15" x14ac:dyDescent="0.3">
      <c r="A212" s="1">
        <v>45987</v>
      </c>
      <c r="B212" t="s">
        <v>16</v>
      </c>
      <c r="C212">
        <v>5655.58</v>
      </c>
      <c r="D212">
        <v>5867.9710999999998</v>
      </c>
      <c r="E212" s="2">
        <v>2.2494418777670812E-2</v>
      </c>
      <c r="F212" s="1">
        <v>48201</v>
      </c>
      <c r="G212">
        <v>3958.9059999999999</v>
      </c>
      <c r="H212">
        <v>0.227911</v>
      </c>
      <c r="J212" s="3">
        <f>(F212-A212)/365</f>
        <v>6.065753424657534</v>
      </c>
      <c r="K212" s="3">
        <f>(LN(D212/G212)+H212^2*J212/2)/(H212*SQRT(J212))</f>
        <v>0.98176233306197469</v>
      </c>
      <c r="L212" s="3">
        <f>K212-H212*SQRT(J212)</f>
        <v>0.42044602157865085</v>
      </c>
      <c r="M212" s="3">
        <f>EXP(-E212*J212)*(D212*_xlfn.NORM.DIST(K212,0,1,TRUE)-G212*_xlfn.NORM.DIST(L212,0,1,TRUE))</f>
        <v>1994.7928421536942</v>
      </c>
      <c r="N212" s="3">
        <f>EXP(-E212*J212)*(G212*_xlfn.NORM.DIST(-L212,0,1,TRUE)-D212*_xlfn.NORM.DIST(-K212,0,1,TRUE))</f>
        <v>329.22177475494175</v>
      </c>
      <c r="O212" s="3" t="b">
        <f>(M212-N212)=EXP(-E212*J212)*(D212-G212)</f>
        <v>1</v>
      </c>
    </row>
    <row r="213" spans="1:15" x14ac:dyDescent="0.3">
      <c r="A213" s="1">
        <v>45987</v>
      </c>
      <c r="B213" t="s">
        <v>16</v>
      </c>
      <c r="C213">
        <v>5655.58</v>
      </c>
      <c r="D213">
        <v>5867.9710999999998</v>
      </c>
      <c r="E213" s="2">
        <v>2.2494418777670812E-2</v>
      </c>
      <c r="F213" s="1">
        <v>48201</v>
      </c>
      <c r="G213">
        <v>4524.4639999999999</v>
      </c>
      <c r="H213">
        <v>0.21037600000000001</v>
      </c>
      <c r="J213" s="3">
        <f>(F213-A213)/365</f>
        <v>6.065753424657534</v>
      </c>
      <c r="K213" s="3">
        <f>(LN(D213/G213)+H213^2*J213/2)/(H213*SQRT(J213))</f>
        <v>0.7608886103722482</v>
      </c>
      <c r="L213" s="3">
        <f>K213-H213*SQRT(J213)</f>
        <v>0.24275881258005849</v>
      </c>
      <c r="M213" s="3">
        <f>EXP(-E213*J213)*(D213*_xlfn.NORM.DIST(K213,0,1,TRUE)-G213*_xlfn.NORM.DIST(L213,0,1,TRUE))</f>
        <v>1623.7628756996846</v>
      </c>
      <c r="N213" s="3">
        <f>EXP(-E213*J213)*(G213*_xlfn.NORM.DIST(-L213,0,1,TRUE)-D213*_xlfn.NORM.DIST(-K213,0,1,TRUE))</f>
        <v>451.61502458407779</v>
      </c>
      <c r="O213" s="3" t="b">
        <f>(M213-N213)=EXP(-E213*J213)*(D213-G213)</f>
        <v>1</v>
      </c>
    </row>
    <row r="214" spans="1:15" x14ac:dyDescent="0.3">
      <c r="A214" s="1">
        <v>45987</v>
      </c>
      <c r="B214" t="s">
        <v>16</v>
      </c>
      <c r="C214">
        <v>5655.58</v>
      </c>
      <c r="D214">
        <v>5867.9710999999998</v>
      </c>
      <c r="E214" s="2">
        <v>2.2494418777670812E-2</v>
      </c>
      <c r="F214" s="1">
        <v>48201</v>
      </c>
      <c r="G214">
        <v>5090.0219999999999</v>
      </c>
      <c r="H214">
        <v>0.195025</v>
      </c>
      <c r="J214" s="3">
        <f>(F214-A214)/365</f>
        <v>6.065753424657534</v>
      </c>
      <c r="K214" s="3">
        <f>(LN(D214/G214)+H214^2*J214/2)/(H214*SQRT(J214))</f>
        <v>0.53626813465433376</v>
      </c>
      <c r="L214" s="3">
        <f>K214-H214*SQRT(J214)</f>
        <v>5.5945931482765776E-2</v>
      </c>
      <c r="M214" s="3">
        <f>EXP(-E214*J214)*(D214*_xlfn.NORM.DIST(K214,0,1,TRUE)-G214*_xlfn.NORM.DIST(L214,0,1,TRUE))</f>
        <v>1285.2639830449511</v>
      </c>
      <c r="N214" s="3">
        <f>EXP(-E214*J214)*(G214*_xlfn.NORM.DIST(-L214,0,1,TRUE)-D214*_xlfn.NORM.DIST(-K214,0,1,TRUE))</f>
        <v>606.53934821248868</v>
      </c>
      <c r="O214" s="3" t="b">
        <f>(M214-N214)=EXP(-E214*J214)*(D214-G214)</f>
        <v>1</v>
      </c>
    </row>
    <row r="215" spans="1:15" x14ac:dyDescent="0.3">
      <c r="A215" s="1">
        <v>45987</v>
      </c>
      <c r="B215" t="s">
        <v>16</v>
      </c>
      <c r="C215">
        <v>5655.58</v>
      </c>
      <c r="D215">
        <v>5867.9710999999998</v>
      </c>
      <c r="E215" s="2">
        <v>2.2494418777670812E-2</v>
      </c>
      <c r="F215" s="1">
        <v>48201</v>
      </c>
      <c r="G215">
        <v>5372.8009999999995</v>
      </c>
      <c r="H215">
        <v>0.18811900000000001</v>
      </c>
      <c r="J215" s="3">
        <f>(F215-A215)/365</f>
        <v>6.065753424657534</v>
      </c>
      <c r="K215" s="3">
        <f>(LN(D215/G215)+H215^2*J215/2)/(H215*SQRT(J215))</f>
        <v>0.42193733728513194</v>
      </c>
      <c r="L215" s="3">
        <f>K215-H215*SQRT(J215)</f>
        <v>-4.1376250913469248E-2</v>
      </c>
      <c r="M215" s="3">
        <f>EXP(-E215*J215)*(D215*_xlfn.NORM.DIST(K215,0,1,TRUE)-G215*_xlfn.NORM.DIST(L215,0,1,TRUE))</f>
        <v>1130.2227261416151</v>
      </c>
      <c r="N215" s="3">
        <f>EXP(-E215*J215)*(G215*_xlfn.NORM.DIST(-L215,0,1,TRUE)-D215*_xlfn.NORM.DIST(-K215,0,1,TRUE))</f>
        <v>698.20969945072488</v>
      </c>
      <c r="O215" s="3" t="b">
        <f>(M215-N215)=EXP(-E215*J215)*(D215-G215)</f>
        <v>1</v>
      </c>
    </row>
    <row r="216" spans="1:15" x14ac:dyDescent="0.3">
      <c r="A216" s="1">
        <v>45987</v>
      </c>
      <c r="B216" t="s">
        <v>16</v>
      </c>
      <c r="C216">
        <v>5655.58</v>
      </c>
      <c r="D216">
        <v>5867.9710999999998</v>
      </c>
      <c r="E216" s="2">
        <v>2.2494418777670812E-2</v>
      </c>
      <c r="F216" s="1">
        <v>48201</v>
      </c>
      <c r="G216">
        <v>5655.58</v>
      </c>
      <c r="H216">
        <v>0.18172099999999999</v>
      </c>
      <c r="J216" s="3">
        <f>(F216-A216)/365</f>
        <v>6.065753424657534</v>
      </c>
      <c r="K216" s="3">
        <f>(LN(D216/G216)+H216^2*J216/2)/(H216*SQRT(J216))</f>
        <v>0.30615044707705358</v>
      </c>
      <c r="L216" s="3">
        <f>K216-H216*SQRT(J216)</f>
        <v>-0.14140566666498205</v>
      </c>
      <c r="M216" s="3">
        <f>EXP(-E216*J216)*(D216*_xlfn.NORM.DIST(K216,0,1,TRUE)-G216*_xlfn.NORM.DIST(L216,0,1,TRUE))</f>
        <v>985.72845686412745</v>
      </c>
      <c r="N216" s="3">
        <f>EXP(-E216*J216)*(G216*_xlfn.NORM.DIST(-L216,0,1,TRUE)-D216*_xlfn.NORM.DIST(-K216,0,1,TRUE))</f>
        <v>800.42703831480947</v>
      </c>
      <c r="O216" s="3" t="b">
        <f>(M216-N216)=EXP(-E216*J216)*(D216-G216)</f>
        <v>1</v>
      </c>
    </row>
    <row r="217" spans="1:15" x14ac:dyDescent="0.3">
      <c r="A217" s="1">
        <v>45987</v>
      </c>
      <c r="B217" t="s">
        <v>16</v>
      </c>
      <c r="C217">
        <v>5655.58</v>
      </c>
      <c r="D217">
        <v>5867.9710999999998</v>
      </c>
      <c r="E217" s="2">
        <v>2.2494418777670812E-2</v>
      </c>
      <c r="F217" s="1">
        <v>48201</v>
      </c>
      <c r="G217">
        <v>5938.3590000000004</v>
      </c>
      <c r="H217">
        <v>0.175839</v>
      </c>
      <c r="J217" s="3">
        <f>(F217-A217)/365</f>
        <v>6.065753424657534</v>
      </c>
      <c r="K217" s="3">
        <f>(LN(D217/G217)+H217^2*J217/2)/(H217*SQRT(J217))</f>
        <v>0.18900129052841505</v>
      </c>
      <c r="L217" s="3">
        <f>K217-H217*SQRT(J217)</f>
        <v>-0.2440681922737146</v>
      </c>
      <c r="M217" s="3">
        <f>EXP(-E217*J217)*(D217*_xlfn.NORM.DIST(K217,0,1,TRUE)-G217*_xlfn.NORM.DIST(L217,0,1,TRUE))</f>
        <v>852.5248764187362</v>
      </c>
      <c r="N217" s="3">
        <f>EXP(-E217*J217)*(G217*_xlfn.NORM.DIST(-L217,0,1,TRUE)-D217*_xlfn.NORM.DIST(-K217,0,1,TRUE))</f>
        <v>913.93506601099148</v>
      </c>
      <c r="O217" s="3" t="b">
        <f>(M217-N217)=EXP(-E217*J217)*(D217-G217)</f>
        <v>0</v>
      </c>
    </row>
    <row r="218" spans="1:15" x14ac:dyDescent="0.3">
      <c r="A218" s="1">
        <v>45987</v>
      </c>
      <c r="B218" t="s">
        <v>16</v>
      </c>
      <c r="C218">
        <v>5655.58</v>
      </c>
      <c r="D218">
        <v>5867.9710999999998</v>
      </c>
      <c r="E218" s="2">
        <v>2.2494418777670812E-2</v>
      </c>
      <c r="F218" s="1">
        <v>48201</v>
      </c>
      <c r="G218">
        <v>6221.1380000000008</v>
      </c>
      <c r="H218">
        <v>0.170487</v>
      </c>
      <c r="J218" s="3">
        <f>(F218-A218)/365</f>
        <v>6.065753424657534</v>
      </c>
      <c r="K218" s="3">
        <f>(LN(D218/G218)+H218^2*J218/2)/(H218*SQRT(J218))</f>
        <v>7.075485516606432E-2</v>
      </c>
      <c r="L218" s="3">
        <f>K218-H218*SQRT(J218)</f>
        <v>-0.34913332046327095</v>
      </c>
      <c r="M218" s="3">
        <f>EXP(-E218*J218)*(D218*_xlfn.NORM.DIST(K218,0,1,TRUE)-G218*_xlfn.NORM.DIST(L218,0,1,TRUE))</f>
        <v>731.23242709063265</v>
      </c>
      <c r="N218" s="3">
        <f>EXP(-E218*J218)*(G218*_xlfn.NORM.DIST(-L218,0,1,TRUE)-D218*_xlfn.NORM.DIST(-K218,0,1,TRUE))</f>
        <v>1039.3542248244607</v>
      </c>
      <c r="O218" s="3" t="b">
        <f>(M218-N218)=EXP(-E218*J218)*(D218-G218)</f>
        <v>1</v>
      </c>
    </row>
    <row r="219" spans="1:15" x14ac:dyDescent="0.3">
      <c r="A219" s="1">
        <v>45987</v>
      </c>
      <c r="B219" t="s">
        <v>16</v>
      </c>
      <c r="C219">
        <v>5655.58</v>
      </c>
      <c r="D219">
        <v>5867.9710999999998</v>
      </c>
      <c r="E219" s="2">
        <v>2.2494418777670812E-2</v>
      </c>
      <c r="F219" s="1">
        <v>48201</v>
      </c>
      <c r="G219">
        <v>6786.6959999999999</v>
      </c>
      <c r="H219">
        <v>0.16144700000000001</v>
      </c>
      <c r="J219" s="3">
        <f>(F219-A219)/365</f>
        <v>6.065753424657534</v>
      </c>
      <c r="K219" s="3">
        <f>(LN(D219/G219)+H219^2*J219/2)/(H219*SQRT(J219))</f>
        <v>-0.16699944789342056</v>
      </c>
      <c r="L219" s="3">
        <f>K219-H219*SQRT(J219)</f>
        <v>-0.56462323323089081</v>
      </c>
      <c r="M219" s="3">
        <f>EXP(-E219*J219)*(D219*_xlfn.NORM.DIST(K219,0,1,TRUE)-G219*_xlfn.NORM.DIST(L219,0,1,TRUE))</f>
        <v>525.8605271912038</v>
      </c>
      <c r="N219" s="3">
        <f>EXP(-E219*J219)*(G219*_xlfn.NORM.DIST(-L219,0,1,TRUE)-D219*_xlfn.NORM.DIST(-K219,0,1,TRUE))</f>
        <v>1327.4055412081757</v>
      </c>
      <c r="O219" s="3" t="b">
        <f>(M219-N219)=EXP(-E219*J219)*(D219-G219)</f>
        <v>1</v>
      </c>
    </row>
    <row r="220" spans="1:15" x14ac:dyDescent="0.3">
      <c r="A220" s="1">
        <v>45987</v>
      </c>
      <c r="B220" t="s">
        <v>16</v>
      </c>
      <c r="C220">
        <v>5655.58</v>
      </c>
      <c r="D220">
        <v>5867.9710999999998</v>
      </c>
      <c r="E220" s="2">
        <v>2.2494418777670812E-2</v>
      </c>
      <c r="F220" s="1">
        <v>48201</v>
      </c>
      <c r="G220">
        <v>7352.2539999999999</v>
      </c>
      <c r="H220">
        <v>0.15471299999999999</v>
      </c>
      <c r="J220" s="3">
        <f>(F220-A220)/365</f>
        <v>6.065753424657534</v>
      </c>
      <c r="K220" s="3">
        <f>(LN(D220/G220)+H220^2*J220/2)/(H220*SQRT(J220))</f>
        <v>-0.4012786254600148</v>
      </c>
      <c r="L220" s="3">
        <f>K220-H220*SQRT(J220)</f>
        <v>-0.78231741033007141</v>
      </c>
      <c r="M220" s="3">
        <f>EXP(-E220*J220)*(D220*_xlfn.NORM.DIST(K220,0,1,TRUE)-G220*_xlfn.NORM.DIST(L220,0,1,TRUE))</f>
        <v>369.63301809598323</v>
      </c>
      <c r="N220" s="3">
        <f>EXP(-E220*J220)*(G220*_xlfn.NORM.DIST(-L220,0,1,TRUE)-D220*_xlfn.NORM.DIST(-K220,0,1,TRUE))</f>
        <v>1664.6012483961003</v>
      </c>
      <c r="O220" s="3" t="b">
        <f>(M220-N220)=EXP(-E220*J220)*(D220-G220)</f>
        <v>1</v>
      </c>
    </row>
    <row r="221" spans="1:15" x14ac:dyDescent="0.3">
      <c r="A221" s="1">
        <v>45987</v>
      </c>
      <c r="B221" t="s">
        <v>16</v>
      </c>
      <c r="C221">
        <v>5655.58</v>
      </c>
      <c r="D221">
        <v>5867.9710999999998</v>
      </c>
      <c r="E221" s="2">
        <v>2.2494418777670812E-2</v>
      </c>
      <c r="F221" s="1">
        <v>48201</v>
      </c>
      <c r="G221">
        <v>7917.8119999999999</v>
      </c>
      <c r="H221">
        <v>0.150258</v>
      </c>
      <c r="J221" s="3">
        <f>(F221-A221)/365</f>
        <v>6.065753424657534</v>
      </c>
      <c r="K221" s="3">
        <f>(LN(D221/G221)+H221^2*J221/2)/(H221*SQRT(J221))</f>
        <v>-0.6245666303661358</v>
      </c>
      <c r="L221" s="3">
        <f>K221-H221*SQRT(J221)</f>
        <v>-0.99463330696735852</v>
      </c>
      <c r="M221" s="3">
        <f>EXP(-E221*J221)*(D221*_xlfn.NORM.DIST(K221,0,1,TRUE)-G221*_xlfn.NORM.DIST(L221,0,1,TRUE))</f>
        <v>257.47683959751043</v>
      </c>
      <c r="N221" s="3">
        <f>EXP(-E221*J221)*(G221*_xlfn.NORM.DIST(-L221,0,1,TRUE)-D221*_xlfn.NORM.DIST(-K221,0,1,TRUE))</f>
        <v>2045.868286180772</v>
      </c>
      <c r="O221" s="3" t="b">
        <f>(M221-N221)=EXP(-E221*J221)*(D221-G221)</f>
        <v>1</v>
      </c>
    </row>
    <row r="222" spans="1:15" x14ac:dyDescent="0.3">
      <c r="A222" s="1">
        <v>45987</v>
      </c>
      <c r="B222" t="s">
        <v>16</v>
      </c>
      <c r="C222">
        <v>5655.58</v>
      </c>
      <c r="D222">
        <v>5867.9710999999998</v>
      </c>
      <c r="E222" s="2">
        <v>2.2494418777670812E-2</v>
      </c>
      <c r="F222" s="1">
        <v>48201</v>
      </c>
      <c r="G222">
        <v>8483.3700000000008</v>
      </c>
      <c r="H222">
        <v>0.14784900000000001</v>
      </c>
      <c r="J222" s="3">
        <f>(F222-A222)/365</f>
        <v>6.065753424657534</v>
      </c>
      <c r="K222" s="3">
        <f>(LN(D222/G222)+H222^2*J222/2)/(H222*SQRT(J222))</f>
        <v>-0.83019581061916981</v>
      </c>
      <c r="L222" s="3">
        <f>K222-H222*SQRT(J222)</f>
        <v>-1.1943294212676157</v>
      </c>
      <c r="M222" s="3">
        <f>EXP(-E222*J222)*(D222*_xlfn.NORM.DIST(K222,0,1,TRUE)-G222*_xlfn.NORM.DIST(L222,0,1,TRUE))</f>
        <v>180.5126863774897</v>
      </c>
      <c r="N222" s="3">
        <f>EXP(-E222*J222)*(G222*_xlfn.NORM.DIST(-L222,0,1,TRUE)-D222*_xlfn.NORM.DIST(-K222,0,1,TRUE))</f>
        <v>2462.3273492438962</v>
      </c>
      <c r="O222" s="3" t="b">
        <f>(M222-N222)=EXP(-E222*J222)*(D222-G222)</f>
        <v>1</v>
      </c>
    </row>
    <row r="223" spans="1:15" x14ac:dyDescent="0.3">
      <c r="A223" s="1">
        <v>45987</v>
      </c>
      <c r="B223" t="s">
        <v>16</v>
      </c>
      <c r="C223">
        <v>5655.58</v>
      </c>
      <c r="D223">
        <v>5969.1850599999998</v>
      </c>
      <c r="E223" s="2">
        <v>2.3262254120638412E-2</v>
      </c>
      <c r="F223" s="1">
        <v>48565</v>
      </c>
      <c r="G223">
        <v>2827.79</v>
      </c>
      <c r="H223">
        <v>0.27008799999999999</v>
      </c>
      <c r="J223" s="3">
        <f>(F223-A223)/365</f>
        <v>7.0630136986301366</v>
      </c>
      <c r="K223" s="3">
        <f>(LN(D223/G223)+H223^2*J223/2)/(H223*SQRT(J223))</f>
        <v>1.3997448932920351</v>
      </c>
      <c r="L223" s="3">
        <f>K223-H223*SQRT(J223)</f>
        <v>0.68195008435491689</v>
      </c>
      <c r="M223" s="3">
        <f>EXP(-E223*J223)*(D223*_xlfn.NORM.DIST(K223,0,1,TRUE)-G223*_xlfn.NORM.DIST(L223,0,1,TRUE))</f>
        <v>2850.3837831325236</v>
      </c>
      <c r="N223" s="3">
        <f>EXP(-E223*J223)*(G223*_xlfn.NORM.DIST(-L223,0,1,TRUE)-D223*_xlfn.NORM.DIST(-K223,0,1,TRUE))</f>
        <v>184.95385532099243</v>
      </c>
      <c r="O223" s="3" t="b">
        <f>(M223-N223)=EXP(-E223*J223)*(D223-G223)</f>
        <v>1</v>
      </c>
    </row>
    <row r="224" spans="1:15" x14ac:dyDescent="0.3">
      <c r="A224" s="1">
        <v>45987</v>
      </c>
      <c r="B224" t="s">
        <v>16</v>
      </c>
      <c r="C224">
        <v>5655.58</v>
      </c>
      <c r="D224">
        <v>5969.1850599999998</v>
      </c>
      <c r="E224" s="2">
        <v>2.3262254120638412E-2</v>
      </c>
      <c r="F224" s="1">
        <v>48565</v>
      </c>
      <c r="G224">
        <v>3393.348</v>
      </c>
      <c r="H224">
        <v>0.247642</v>
      </c>
      <c r="J224" s="3">
        <f>(F224-A224)/365</f>
        <v>7.0630136986301366</v>
      </c>
      <c r="K224" s="3">
        <f>(LN(D224/G224)+H224^2*J224/2)/(H224*SQRT(J224))</f>
        <v>1.1872347271681285</v>
      </c>
      <c r="L224" s="3">
        <f>K224-H224*SQRT(J224)</f>
        <v>0.52909315081225261</v>
      </c>
      <c r="M224" s="3">
        <f>EXP(-E224*J224)*(D224*_xlfn.NORM.DIST(K224,0,1,TRUE)-G224*_xlfn.NORM.DIST(L224,0,1,TRUE))</f>
        <v>2449.1799774701685</v>
      </c>
      <c r="N224" s="3">
        <f>EXP(-E224*J224)*(G224*_xlfn.NORM.DIST(-L224,0,1,TRUE)-D224*_xlfn.NORM.DIST(-K224,0,1,TRUE))</f>
        <v>263.61813066123256</v>
      </c>
      <c r="O224" s="3" t="b">
        <f>(M224-N224)=EXP(-E224*J224)*(D224-G224)</f>
        <v>1</v>
      </c>
    </row>
    <row r="225" spans="1:15" x14ac:dyDescent="0.3">
      <c r="A225" s="1">
        <v>45987</v>
      </c>
      <c r="B225" t="s">
        <v>16</v>
      </c>
      <c r="C225">
        <v>5655.58</v>
      </c>
      <c r="D225">
        <v>5969.1850599999998</v>
      </c>
      <c r="E225" s="2">
        <v>2.3262254120638412E-2</v>
      </c>
      <c r="F225" s="1">
        <v>48565</v>
      </c>
      <c r="G225">
        <v>3958.9059999999999</v>
      </c>
      <c r="H225">
        <v>0.22837399999999999</v>
      </c>
      <c r="J225" s="3">
        <f>(F225-A225)/365</f>
        <v>7.0630136986301366</v>
      </c>
      <c r="K225" s="3">
        <f>(LN(D225/G225)+H225^2*J225/2)/(H225*SQRT(J225))</f>
        <v>0.9800522220439436</v>
      </c>
      <c r="L225" s="3">
        <f>K225-H225*SQRT(J225)</f>
        <v>0.37311792027487045</v>
      </c>
      <c r="M225" s="3">
        <f>EXP(-E225*J225)*(D225*_xlfn.NORM.DIST(K225,0,1,TRUE)-G225*_xlfn.NORM.DIST(L225,0,1,TRUE))</f>
        <v>2068.3455687548048</v>
      </c>
      <c r="N225" s="3">
        <f>EXP(-E225*J225)*(G225*_xlfn.NORM.DIST(-L225,0,1,TRUE)-D225*_xlfn.NORM.DIST(-K225,0,1,TRUE))</f>
        <v>362.65180294846448</v>
      </c>
      <c r="O225" s="3" t="b">
        <f>(M225-N225)=EXP(-E225*J225)*(D225-G225)</f>
        <v>1</v>
      </c>
    </row>
    <row r="226" spans="1:15" x14ac:dyDescent="0.3">
      <c r="A226" s="1">
        <v>45987</v>
      </c>
      <c r="B226" t="s">
        <v>16</v>
      </c>
      <c r="C226">
        <v>5655.58</v>
      </c>
      <c r="D226">
        <v>5969.1850599999998</v>
      </c>
      <c r="E226" s="2">
        <v>2.3262254120638412E-2</v>
      </c>
      <c r="F226" s="1">
        <v>48565</v>
      </c>
      <c r="G226">
        <v>4524.4639999999999</v>
      </c>
      <c r="H226">
        <v>0.21161199999999999</v>
      </c>
      <c r="J226" s="3">
        <f>(F226-A226)/365</f>
        <v>7.0630136986301366</v>
      </c>
      <c r="K226" s="3">
        <f>(LN(D226/G226)+H226^2*J226/2)/(H226*SQRT(J226))</f>
        <v>0.77393476773344816</v>
      </c>
      <c r="L226" s="3">
        <f>K226-H226*SQRT(J226)</f>
        <v>0.21154771200049649</v>
      </c>
      <c r="M226" s="3">
        <f>EXP(-E226*J226)*(D226*_xlfn.NORM.DIST(K226,0,1,TRUE)-G226*_xlfn.NORM.DIST(L226,0,1,TRUE))</f>
        <v>1712.0699186116035</v>
      </c>
      <c r="N226" s="3">
        <f>EXP(-E226*J226)*(G226*_xlfn.NORM.DIST(-L226,0,1,TRUE)-D226*_xlfn.NORM.DIST(-K226,0,1,TRUE))</f>
        <v>486.24423380785981</v>
      </c>
      <c r="O226" s="3" t="b">
        <f>(M226-N226)=EXP(-E226*J226)*(D226-G226)</f>
        <v>1</v>
      </c>
    </row>
    <row r="227" spans="1:15" x14ac:dyDescent="0.3">
      <c r="A227" s="1">
        <v>45987</v>
      </c>
      <c r="B227" t="s">
        <v>16</v>
      </c>
      <c r="C227">
        <v>5655.58</v>
      </c>
      <c r="D227">
        <v>5969.1850599999998</v>
      </c>
      <c r="E227" s="2">
        <v>2.3262254120638412E-2</v>
      </c>
      <c r="F227" s="1">
        <v>48565</v>
      </c>
      <c r="G227">
        <v>5090.0219999999999</v>
      </c>
      <c r="H227">
        <v>0.196994</v>
      </c>
      <c r="J227" s="3">
        <f>(F227-A227)/365</f>
        <v>7.0630136986301366</v>
      </c>
      <c r="K227" s="3">
        <f>(LN(D227/G227)+H227^2*J227/2)/(H227*SQRT(J227))</f>
        <v>0.56609890354868042</v>
      </c>
      <c r="L227" s="3">
        <f>K227-H227*SQRT(J227)</f>
        <v>4.2561128483669552E-2</v>
      </c>
      <c r="M227" s="3">
        <f>EXP(-E227*J227)*(D227*_xlfn.NORM.DIST(K227,0,1,TRUE)-G227*_xlfn.NORM.DIST(L227,0,1,TRUE))</f>
        <v>1385.236230431824</v>
      </c>
      <c r="N227" s="3">
        <f>EXP(-E227*J227)*(G227*_xlfn.NORM.DIST(-L227,0,1,TRUE)-D227*_xlfn.NORM.DIST(-K227,0,1,TRUE))</f>
        <v>639.27862663067572</v>
      </c>
      <c r="O227" s="3" t="b">
        <f>(M227-N227)=EXP(-E227*J227)*(D227-G227)</f>
        <v>1</v>
      </c>
    </row>
    <row r="228" spans="1:15" x14ac:dyDescent="0.3">
      <c r="A228" s="1">
        <v>45987</v>
      </c>
      <c r="B228" t="s">
        <v>16</v>
      </c>
      <c r="C228">
        <v>5655.58</v>
      </c>
      <c r="D228">
        <v>5969.1850599999998</v>
      </c>
      <c r="E228" s="2">
        <v>2.3262254120638412E-2</v>
      </c>
      <c r="F228" s="1">
        <v>48565</v>
      </c>
      <c r="G228">
        <v>5372.8009999999995</v>
      </c>
      <c r="H228">
        <v>0.19043299999999999</v>
      </c>
      <c r="J228" s="3">
        <f>(F228-A228)/365</f>
        <v>7.0630136986301366</v>
      </c>
      <c r="K228" s="3">
        <f>(LN(D228/G228)+H228^2*J228/2)/(H228*SQRT(J228))</f>
        <v>0.46103475649492354</v>
      </c>
      <c r="L228" s="3">
        <f>K228-H228*SQRT(J228)</f>
        <v>-4.5066287795538118E-2</v>
      </c>
      <c r="M228" s="3">
        <f>EXP(-E228*J228)*(D228*_xlfn.NORM.DIST(K228,0,1,TRUE)-G228*_xlfn.NORM.DIST(L228,0,1,TRUE))</f>
        <v>1234.5149509292132</v>
      </c>
      <c r="N228" s="3">
        <f>EXP(-E228*J228)*(G228*_xlfn.NORM.DIST(-L228,0,1,TRUE)-D228*_xlfn.NORM.DIST(-K228,0,1,TRUE))</f>
        <v>728.49138762936184</v>
      </c>
      <c r="O228" s="3" t="b">
        <f>(M228-N228)=EXP(-E228*J228)*(D228-G228)</f>
        <v>1</v>
      </c>
    </row>
    <row r="229" spans="1:15" x14ac:dyDescent="0.3">
      <c r="A229" s="1">
        <v>45987</v>
      </c>
      <c r="B229" t="s">
        <v>16</v>
      </c>
      <c r="C229">
        <v>5655.58</v>
      </c>
      <c r="D229">
        <v>5969.1850599999998</v>
      </c>
      <c r="E229" s="2">
        <v>2.3262254120638412E-2</v>
      </c>
      <c r="F229" s="1">
        <v>48565</v>
      </c>
      <c r="G229">
        <v>5655.58</v>
      </c>
      <c r="H229">
        <v>0.184363</v>
      </c>
      <c r="J229" s="3">
        <f>(F229-A229)/365</f>
        <v>7.0630136986301366</v>
      </c>
      <c r="K229" s="3">
        <f>(LN(D229/G229)+H229^2*J229/2)/(H229*SQRT(J229))</f>
        <v>0.35512977921880057</v>
      </c>
      <c r="L229" s="3">
        <f>K229-H229*SQRT(J229)</f>
        <v>-0.1348394321496198</v>
      </c>
      <c r="M229" s="3">
        <f>EXP(-E229*J229)*(D229*_xlfn.NORM.DIST(K229,0,1,TRUE)-G229*_xlfn.NORM.DIST(L229,0,1,TRUE))</f>
        <v>1093.1570352246108</v>
      </c>
      <c r="N229" s="3">
        <f>EXP(-E229*J229)*(G229*_xlfn.NORM.DIST(-L229,0,1,TRUE)-D229*_xlfn.NORM.DIST(-K229,0,1,TRUE))</f>
        <v>827.0675124260581</v>
      </c>
      <c r="O229" s="3" t="b">
        <f>(M229-N229)=EXP(-E229*J229)*(D229-G229)</f>
        <v>1</v>
      </c>
    </row>
    <row r="230" spans="1:15" x14ac:dyDescent="0.3">
      <c r="A230" s="1">
        <v>45987</v>
      </c>
      <c r="B230" t="s">
        <v>16</v>
      </c>
      <c r="C230">
        <v>5655.58</v>
      </c>
      <c r="D230">
        <v>5969.1850599999998</v>
      </c>
      <c r="E230" s="2">
        <v>2.3262254120638412E-2</v>
      </c>
      <c r="F230" s="1">
        <v>48565</v>
      </c>
      <c r="G230">
        <v>5938.3590000000004</v>
      </c>
      <c r="H230">
        <v>0.178785</v>
      </c>
      <c r="J230" s="3">
        <f>(F230-A230)/365</f>
        <v>7.0630136986301366</v>
      </c>
      <c r="K230" s="3">
        <f>(LN(D230/G230)+H230^2*J230/2)/(H230*SQRT(J230))</f>
        <v>0.24846930974721149</v>
      </c>
      <c r="L230" s="3">
        <f>K230-H230*SQRT(J230)</f>
        <v>-0.22667562418477616</v>
      </c>
      <c r="M230" s="3">
        <f>EXP(-E230*J230)*(D230*_xlfn.NORM.DIST(K230,0,1,TRUE)-G230*_xlfn.NORM.DIST(L230,0,1,TRUE))</f>
        <v>961.7766854513402</v>
      </c>
      <c r="N230" s="3">
        <f>EXP(-E230*J230)*(G230*_xlfn.NORM.DIST(-L230,0,1,TRUE)-D230*_xlfn.NORM.DIST(-K230,0,1,TRUE))</f>
        <v>935.62120315408538</v>
      </c>
      <c r="O230" s="3" t="b">
        <f>(M230-N230)=EXP(-E230*J230)*(D230-G230)</f>
        <v>0</v>
      </c>
    </row>
    <row r="231" spans="1:15" x14ac:dyDescent="0.3">
      <c r="A231" s="1">
        <v>45987</v>
      </c>
      <c r="B231" t="s">
        <v>16</v>
      </c>
      <c r="C231">
        <v>5655.58</v>
      </c>
      <c r="D231">
        <v>5969.1850599999998</v>
      </c>
      <c r="E231" s="2">
        <v>2.3262254120638412E-2</v>
      </c>
      <c r="F231" s="1">
        <v>48565</v>
      </c>
      <c r="G231">
        <v>6221.1380000000008</v>
      </c>
      <c r="H231">
        <v>0.173708</v>
      </c>
      <c r="J231" s="3">
        <f>(F231-A231)/365</f>
        <v>7.0630136986301366</v>
      </c>
      <c r="K231" s="3">
        <f>(LN(D231/G231)+H231^2*J231/2)/(H231*SQRT(J231))</f>
        <v>0.14127284280651897</v>
      </c>
      <c r="L231" s="3">
        <f>K231-H231*SQRT(J231)</f>
        <v>-0.32037928787255204</v>
      </c>
      <c r="M231" s="3">
        <f>EXP(-E231*J231)*(D231*_xlfn.NORM.DIST(K231,0,1,TRUE)-G231*_xlfn.NORM.DIST(L231,0,1,TRUE))</f>
        <v>840.91332212961072</v>
      </c>
      <c r="N231" s="3">
        <f>EXP(-E231*J231)*(G231*_xlfn.NORM.DIST(-L231,0,1,TRUE)-D231*_xlfn.NORM.DIST(-K231,0,1,TRUE))</f>
        <v>1054.6918803336541</v>
      </c>
      <c r="O231" s="3" t="b">
        <f>(M231-N231)=EXP(-E231*J231)*(D231-G231)</f>
        <v>0</v>
      </c>
    </row>
    <row r="232" spans="1:15" x14ac:dyDescent="0.3">
      <c r="A232" s="1">
        <v>45987</v>
      </c>
      <c r="B232" t="s">
        <v>16</v>
      </c>
      <c r="C232">
        <v>5655.58</v>
      </c>
      <c r="D232">
        <v>5969.1850599999998</v>
      </c>
      <c r="E232" s="2">
        <v>2.3262254120638412E-2</v>
      </c>
      <c r="F232" s="1">
        <v>48565</v>
      </c>
      <c r="G232">
        <v>6786.6959999999999</v>
      </c>
      <c r="H232">
        <v>0.165099</v>
      </c>
      <c r="J232" s="3">
        <f>(F232-A232)/365</f>
        <v>7.0630136986301366</v>
      </c>
      <c r="K232" s="3">
        <f>(LN(D232/G232)+H232^2*J232/2)/(H232*SQRT(J232))</f>
        <v>-7.314297305313712E-2</v>
      </c>
      <c r="L232" s="3">
        <f>K232-H232*SQRT(J232)</f>
        <v>-0.51191554036715803</v>
      </c>
      <c r="M232" s="3">
        <f>EXP(-E232*J232)*(D232*_xlfn.NORM.DIST(K232,0,1,TRUE)-G232*_xlfn.NORM.DIST(L232,0,1,TRUE))</f>
        <v>632.12438028591112</v>
      </c>
      <c r="N232" s="3">
        <f>EXP(-E232*J232)*(G232*_xlfn.NORM.DIST(-L232,0,1,TRUE)-D232*_xlfn.NORM.DIST(-K232,0,1,TRUE))</f>
        <v>1325.7710194925498</v>
      </c>
      <c r="O232" s="3" t="b">
        <f>(M232-N232)=EXP(-E232*J232)*(D232-G232)</f>
        <v>1</v>
      </c>
    </row>
    <row r="233" spans="1:15" x14ac:dyDescent="0.3">
      <c r="A233" s="1">
        <v>45987</v>
      </c>
      <c r="B233" t="s">
        <v>16</v>
      </c>
      <c r="C233">
        <v>5655.58</v>
      </c>
      <c r="D233">
        <v>5969.1850599999998</v>
      </c>
      <c r="E233" s="2">
        <v>2.3262254120638412E-2</v>
      </c>
      <c r="F233" s="1">
        <v>48565</v>
      </c>
      <c r="G233">
        <v>7352.2539999999999</v>
      </c>
      <c r="H233">
        <v>0.15859699999999999</v>
      </c>
      <c r="J233" s="3">
        <f>(F233-A233)/365</f>
        <v>7.0630136986301366</v>
      </c>
      <c r="K233" s="3">
        <f>(LN(D233/G233)+H233^2*J233/2)/(H233*SQRT(J233))</f>
        <v>-0.28367873768567187</v>
      </c>
      <c r="L233" s="3">
        <f>K233-H233*SQRT(J233)</f>
        <v>-0.70517137457809254</v>
      </c>
      <c r="M233" s="3">
        <f>EXP(-E233*J233)*(D233*_xlfn.NORM.DIST(K233,0,1,TRUE)-G233*_xlfn.NORM.DIST(L233,0,1,TRUE))</f>
        <v>467.41060927353652</v>
      </c>
      <c r="N233" s="3">
        <f>EXP(-E233*J233)*(G233*_xlfn.NORM.DIST(-L233,0,1,TRUE)-D233*_xlfn.NORM.DIST(-K233,0,1,TRUE))</f>
        <v>1640.9253294827711</v>
      </c>
      <c r="O233" s="3" t="b">
        <f>(M233-N233)=EXP(-E233*J233)*(D233-G233)</f>
        <v>1</v>
      </c>
    </row>
    <row r="234" spans="1:15" x14ac:dyDescent="0.3">
      <c r="A234" s="1">
        <v>45987</v>
      </c>
      <c r="B234" t="s">
        <v>16</v>
      </c>
      <c r="C234">
        <v>5655.58</v>
      </c>
      <c r="D234">
        <v>5969.1850599999998</v>
      </c>
      <c r="E234" s="2">
        <v>2.3262254120638412E-2</v>
      </c>
      <c r="F234" s="1">
        <v>48565</v>
      </c>
      <c r="G234">
        <v>7917.8119999999999</v>
      </c>
      <c r="H234">
        <v>0.154164</v>
      </c>
      <c r="J234" s="3">
        <f>(F234-A234)/365</f>
        <v>7.0630136986301366</v>
      </c>
      <c r="K234" s="3">
        <f>(LN(D234/G234)+H234^2*J234/2)/(H234*SQRT(J234))</f>
        <v>-0.48466511417027253</v>
      </c>
      <c r="L234" s="3">
        <f>K234-H234*SQRT(J234)</f>
        <v>-0.89437646352671152</v>
      </c>
      <c r="M234" s="3">
        <f>EXP(-E234*J234)*(D234*_xlfn.NORM.DIST(K234,0,1,TRUE)-G234*_xlfn.NORM.DIST(L234,0,1,TRUE))</f>
        <v>343.49770940257378</v>
      </c>
      <c r="N234" s="3">
        <f>EXP(-E234*J234)*(G234*_xlfn.NORM.DIST(-L234,0,1,TRUE)-D234*_xlfn.NORM.DIST(-K234,0,1,TRUE))</f>
        <v>1996.8805106144039</v>
      </c>
      <c r="O234" s="3" t="b">
        <f>(M234-N234)=EXP(-E234*J234)*(D234-G234)</f>
        <v>1</v>
      </c>
    </row>
    <row r="235" spans="1:15" x14ac:dyDescent="0.3">
      <c r="A235" s="1">
        <v>45987</v>
      </c>
      <c r="B235" t="s">
        <v>16</v>
      </c>
      <c r="C235">
        <v>5655.58</v>
      </c>
      <c r="D235">
        <v>5969.1850599999998</v>
      </c>
      <c r="E235" s="2">
        <v>2.3262254120638412E-2</v>
      </c>
      <c r="F235" s="1">
        <v>48565</v>
      </c>
      <c r="G235">
        <v>8483.3700000000008</v>
      </c>
      <c r="H235">
        <v>0.15160299999999999</v>
      </c>
      <c r="J235" s="3">
        <f>(F235-A235)/365</f>
        <v>7.0630136986301366</v>
      </c>
      <c r="K235" s="3">
        <f>(LN(D235/G235)+H235^2*J235/2)/(H235*SQRT(J235))</f>
        <v>-0.67095464848027564</v>
      </c>
      <c r="L235" s="3">
        <f>K235-H235*SQRT(J235)</f>
        <v>-1.0738597994654875</v>
      </c>
      <c r="M235" s="3">
        <f>EXP(-E235*J235)*(D235*_xlfn.NORM.DIST(K235,0,1,TRUE)-G235*_xlfn.NORM.DIST(L235,0,1,TRUE))</f>
        <v>253.78098453214068</v>
      </c>
      <c r="N235" s="3">
        <f>EXP(-E235*J235)*(G235*_xlfn.NORM.DIST(-L235,0,1,TRUE)-D235*_xlfn.NORM.DIST(-K235,0,1,TRUE))</f>
        <v>2387.0318667465672</v>
      </c>
      <c r="O235" s="3" t="b">
        <f>(M235-N235)=EXP(-E235*J235)*(D235-G235)</f>
        <v>1</v>
      </c>
    </row>
    <row r="236" spans="1:15" x14ac:dyDescent="0.3">
      <c r="A236" s="1">
        <v>45987</v>
      </c>
      <c r="B236" t="s">
        <v>16</v>
      </c>
      <c r="C236">
        <v>5655.58</v>
      </c>
      <c r="D236">
        <v>6085.69355</v>
      </c>
      <c r="E236" s="2">
        <v>2.4024665873267112E-2</v>
      </c>
      <c r="F236" s="1">
        <v>48929</v>
      </c>
      <c r="G236">
        <v>2827.79</v>
      </c>
      <c r="H236">
        <v>0.27045799999999998</v>
      </c>
      <c r="J236" s="3">
        <f>(F236-A236)/365</f>
        <v>8.0602739726027401</v>
      </c>
      <c r="K236" s="3">
        <f>(LN(D236/G236)+H236^2*J236/2)/(H236*SQRT(J236))</f>
        <v>1.3820978278604639</v>
      </c>
      <c r="L236" s="3">
        <f>K236-H236*SQRT(J236)</f>
        <v>0.61425075303569554</v>
      </c>
      <c r="M236" s="3">
        <f>EXP(-E236*J236)*(D236*_xlfn.NORM.DIST(K236,0,1,TRUE)-G236*_xlfn.NORM.DIST(L236,0,1,TRUE))</f>
        <v>2893.7827474567703</v>
      </c>
      <c r="N236" s="3">
        <f>EXP(-E236*J236)*(G236*_xlfn.NORM.DIST(-L236,0,1,TRUE)-D236*_xlfn.NORM.DIST(-K236,0,1,TRUE))</f>
        <v>209.43300606965951</v>
      </c>
      <c r="O236" s="3" t="b">
        <f>(M236-N236)=EXP(-E236*J236)*(D236-G236)</f>
        <v>1</v>
      </c>
    </row>
    <row r="237" spans="1:15" x14ac:dyDescent="0.3">
      <c r="A237" s="1">
        <v>45987</v>
      </c>
      <c r="B237" t="s">
        <v>16</v>
      </c>
      <c r="C237">
        <v>5655.58</v>
      </c>
      <c r="D237">
        <v>6085.69355</v>
      </c>
      <c r="E237" s="2">
        <v>2.4024665873267112E-2</v>
      </c>
      <c r="F237" s="1">
        <v>48929</v>
      </c>
      <c r="G237">
        <v>3393.348</v>
      </c>
      <c r="H237">
        <v>0.248667</v>
      </c>
      <c r="J237" s="3">
        <f>(F237-A237)/365</f>
        <v>8.0602739726027401</v>
      </c>
      <c r="K237" s="3">
        <f>(LN(D237/G237)+H237^2*J237/2)/(H237*SQRT(J237))</f>
        <v>1.1803833314118559</v>
      </c>
      <c r="L237" s="3">
        <f>K237-H237*SQRT(J237)</f>
        <v>0.4744022602087461</v>
      </c>
      <c r="M237" s="3">
        <f>EXP(-E237*J237)*(D237*_xlfn.NORM.DIST(K237,0,1,TRUE)-G237*_xlfn.NORM.DIST(L237,0,1,TRUE))</f>
        <v>2510.0489979939243</v>
      </c>
      <c r="N237" s="3">
        <f>EXP(-E237*J237)*(G237*_xlfn.NORM.DIST(-L237,0,1,TRUE)-D237*_xlfn.NORM.DIST(-K237,0,1,TRUE))</f>
        <v>291.69079003922917</v>
      </c>
      <c r="O237" s="3" t="b">
        <f>(M237-N237)=EXP(-E237*J237)*(D237-G237)</f>
        <v>1</v>
      </c>
    </row>
    <row r="238" spans="1:15" x14ac:dyDescent="0.3">
      <c r="A238" s="1">
        <v>45987</v>
      </c>
      <c r="B238" t="s">
        <v>16</v>
      </c>
      <c r="C238">
        <v>5655.58</v>
      </c>
      <c r="D238">
        <v>6085.69355</v>
      </c>
      <c r="E238" s="2">
        <v>2.4024665873267112E-2</v>
      </c>
      <c r="F238" s="1">
        <v>48929</v>
      </c>
      <c r="G238">
        <v>3958.9059999999999</v>
      </c>
      <c r="H238">
        <v>0.230017</v>
      </c>
      <c r="J238" s="3">
        <f>(F238-A238)/365</f>
        <v>8.0602739726027401</v>
      </c>
      <c r="K238" s="3">
        <f>(LN(D238/G238)+H238^2*J238/2)/(H238*SQRT(J238))</f>
        <v>0.98494129307149336</v>
      </c>
      <c r="L238" s="3">
        <f>K238-H238*SQRT(J238)</f>
        <v>0.33190873123206266</v>
      </c>
      <c r="M238" s="3">
        <f>EXP(-E238*J238)*(D238*_xlfn.NORM.DIST(K238,0,1,TRUE)-G238*_xlfn.NORM.DIST(L238,0,1,TRUE))</f>
        <v>2145.2617918866099</v>
      </c>
      <c r="N238" s="3">
        <f>EXP(-E238*J238)*(G238*_xlfn.NORM.DIST(-L238,0,1,TRUE)-D238*_xlfn.NORM.DIST(-K238,0,1,TRUE))</f>
        <v>392.89511736433064</v>
      </c>
      <c r="O238" s="3" t="b">
        <f>(M238-N238)=EXP(-E238*J238)*(D238-G238)</f>
        <v>1</v>
      </c>
    </row>
    <row r="239" spans="1:15" x14ac:dyDescent="0.3">
      <c r="A239" s="1">
        <v>45987</v>
      </c>
      <c r="B239" t="s">
        <v>16</v>
      </c>
      <c r="C239">
        <v>5655.58</v>
      </c>
      <c r="D239">
        <v>6085.69355</v>
      </c>
      <c r="E239" s="2">
        <v>2.4024665873267112E-2</v>
      </c>
      <c r="F239" s="1">
        <v>48929</v>
      </c>
      <c r="G239">
        <v>4524.4639999999999</v>
      </c>
      <c r="H239">
        <v>0.21384400000000001</v>
      </c>
      <c r="J239" s="3">
        <f>(F239-A239)/365</f>
        <v>8.0602739726027401</v>
      </c>
      <c r="K239" s="3">
        <f>(LN(D239/G239)+H239^2*J239/2)/(H239*SQRT(J239))</f>
        <v>0.79183619429117724</v>
      </c>
      <c r="L239" s="3">
        <f>K239-H239*SQRT(J239)</f>
        <v>0.18471978483452312</v>
      </c>
      <c r="M239" s="3">
        <f>EXP(-E239*J239)*(D239*_xlfn.NORM.DIST(K239,0,1,TRUE)-G239*_xlfn.NORM.DIST(L239,0,1,TRUE))</f>
        <v>1802.9693154421223</v>
      </c>
      <c r="N239" s="3">
        <f>EXP(-E239*J239)*(G239*_xlfn.NORM.DIST(-L239,0,1,TRUE)-D239*_xlfn.NORM.DIST(-K239,0,1,TRUE))</f>
        <v>516.59417435225942</v>
      </c>
      <c r="O239" s="3" t="b">
        <f>(M239-N239)=EXP(-E239*J239)*(D239-G239)</f>
        <v>1</v>
      </c>
    </row>
    <row r="240" spans="1:15" x14ac:dyDescent="0.3">
      <c r="A240" s="1">
        <v>45987</v>
      </c>
      <c r="B240" t="s">
        <v>16</v>
      </c>
      <c r="C240">
        <v>5655.58</v>
      </c>
      <c r="D240">
        <v>6085.69355</v>
      </c>
      <c r="E240" s="2">
        <v>2.4024665873267112E-2</v>
      </c>
      <c r="F240" s="1">
        <v>48929</v>
      </c>
      <c r="G240">
        <v>5090.0219999999999</v>
      </c>
      <c r="H240">
        <v>0.19978399999999999</v>
      </c>
      <c r="J240" s="3">
        <f>(F240-A240)/365</f>
        <v>8.0602739726027401</v>
      </c>
      <c r="K240" s="3">
        <f>(LN(D240/G240)+H240^2*J240/2)/(H240*SQRT(J240))</f>
        <v>0.59858337347367219</v>
      </c>
      <c r="L240" s="3">
        <f>K240-H240*SQRT(J240)</f>
        <v>3.1384178046687139E-2</v>
      </c>
      <c r="M240" s="3">
        <f>EXP(-E240*J240)*(D240*_xlfn.NORM.DIST(K240,0,1,TRUE)-G240*_xlfn.NORM.DIST(L240,0,1,TRUE))</f>
        <v>1487.2867329307223</v>
      </c>
      <c r="N240" s="3">
        <f>EXP(-E240*J240)*(G240*_xlfn.NORM.DIST(-L240,0,1,TRUE)-D240*_xlfn.NORM.DIST(-K240,0,1,TRUE))</f>
        <v>666.90312527327478</v>
      </c>
      <c r="O240" s="3" t="b">
        <f>(M240-N240)=EXP(-E240*J240)*(D240-G240)</f>
        <v>0</v>
      </c>
    </row>
    <row r="241" spans="1:15" x14ac:dyDescent="0.3">
      <c r="A241" s="1">
        <v>45987</v>
      </c>
      <c r="B241" t="s">
        <v>16</v>
      </c>
      <c r="C241">
        <v>5655.58</v>
      </c>
      <c r="D241">
        <v>6085.69355</v>
      </c>
      <c r="E241" s="2">
        <v>2.4024665873267112E-2</v>
      </c>
      <c r="F241" s="1">
        <v>48929</v>
      </c>
      <c r="G241">
        <v>5372.8009999999995</v>
      </c>
      <c r="H241">
        <v>0.19348899999999999</v>
      </c>
      <c r="J241" s="3">
        <f>(F241-A241)/365</f>
        <v>8.0602739726027401</v>
      </c>
      <c r="K241" s="3">
        <f>(LN(D241/G241)+H241^2*J241/2)/(H241*SQRT(J241))</f>
        <v>0.50147073362850247</v>
      </c>
      <c r="L241" s="3">
        <f>K241-H241*SQRT(J241)</f>
        <v>-4.7856565474388213E-2</v>
      </c>
      <c r="M241" s="3">
        <f>EXP(-E241*J241)*(D241*_xlfn.NORM.DIST(K241,0,1,TRUE)-G241*_xlfn.NORM.DIST(L241,0,1,TRUE))</f>
        <v>1340.8275135439724</v>
      </c>
      <c r="N241" s="3">
        <f>EXP(-E241*J241)*(G241*_xlfn.NORM.DIST(-L241,0,1,TRUE)-D241*_xlfn.NORM.DIST(-K241,0,1,TRUE))</f>
        <v>753.43967260273314</v>
      </c>
      <c r="O241" s="3" t="b">
        <f>(M241-N241)=EXP(-E241*J241)*(D241-G241)</f>
        <v>1</v>
      </c>
    </row>
    <row r="242" spans="1:15" x14ac:dyDescent="0.3">
      <c r="A242" s="1">
        <v>45987</v>
      </c>
      <c r="B242" t="s">
        <v>16</v>
      </c>
      <c r="C242">
        <v>5655.58</v>
      </c>
      <c r="D242">
        <v>6085.69355</v>
      </c>
      <c r="E242" s="2">
        <v>2.4024665873267112E-2</v>
      </c>
      <c r="F242" s="1">
        <v>48929</v>
      </c>
      <c r="G242">
        <v>5655.58</v>
      </c>
      <c r="H242">
        <v>0.187669</v>
      </c>
      <c r="J242" s="3">
        <f>(F242-A242)/365</f>
        <v>8.0602739726027401</v>
      </c>
      <c r="K242" s="3">
        <f>(LN(D242/G242)+H242^2*J242/2)/(H242*SQRT(J242))</f>
        <v>0.40397233172736985</v>
      </c>
      <c r="L242" s="3">
        <f>K242-H242*SQRT(J242)</f>
        <v>-0.12883162557945588</v>
      </c>
      <c r="M242" s="3">
        <f>EXP(-E242*J242)*(D242*_xlfn.NORM.DIST(K242,0,1,TRUE)-G242*_xlfn.NORM.DIST(L242,0,1,TRUE))</f>
        <v>1202.699878640326</v>
      </c>
      <c r="N242" s="3">
        <f>EXP(-E242*J242)*(G242*_xlfn.NORM.DIST(-L242,0,1,TRUE)-D242*_xlfn.NORM.DIST(-K242,0,1,TRUE))</f>
        <v>848.30780441529498</v>
      </c>
      <c r="O242" s="3" t="b">
        <f>(M242-N242)=EXP(-E242*J242)*(D242-G242)</f>
        <v>1</v>
      </c>
    </row>
    <row r="243" spans="1:15" x14ac:dyDescent="0.3">
      <c r="A243" s="1">
        <v>45987</v>
      </c>
      <c r="B243" t="s">
        <v>16</v>
      </c>
      <c r="C243">
        <v>5655.58</v>
      </c>
      <c r="D243">
        <v>6085.69355</v>
      </c>
      <c r="E243" s="2">
        <v>2.4024665873267112E-2</v>
      </c>
      <c r="F243" s="1">
        <v>48929</v>
      </c>
      <c r="G243">
        <v>5938.3590000000004</v>
      </c>
      <c r="H243">
        <v>0.18232400000000001</v>
      </c>
      <c r="J243" s="3">
        <f>(F243-A243)/365</f>
        <v>8.0602739726027401</v>
      </c>
      <c r="K243" s="3">
        <f>(LN(D243/G243)+H243^2*J243/2)/(H243*SQRT(J243))</f>
        <v>0.30616095917105407</v>
      </c>
      <c r="L243" s="3">
        <f>K243-H243*SQRT(J243)</f>
        <v>-0.21146821086773598</v>
      </c>
      <c r="M243" s="3">
        <f>EXP(-E243*J243)*(D243*_xlfn.NORM.DIST(K243,0,1,TRUE)-G243*_xlfn.NORM.DIST(L243,0,1,TRUE))</f>
        <v>1073.4411483902729</v>
      </c>
      <c r="N243" s="3">
        <f>EXP(-E243*J243)*(G243*_xlfn.NORM.DIST(-L243,0,1,TRUE)-D243*_xlfn.NORM.DIST(-K243,0,1,TRUE))</f>
        <v>952.04484088145011</v>
      </c>
      <c r="O243" s="3" t="b">
        <f>(M243-N243)=EXP(-E243*J243)*(D243-G243)</f>
        <v>1</v>
      </c>
    </row>
    <row r="244" spans="1:15" x14ac:dyDescent="0.3">
      <c r="A244" s="1">
        <v>45987</v>
      </c>
      <c r="B244" t="s">
        <v>16</v>
      </c>
      <c r="C244">
        <v>5655.58</v>
      </c>
      <c r="D244">
        <v>6085.69355</v>
      </c>
      <c r="E244" s="2">
        <v>2.4024665873267112E-2</v>
      </c>
      <c r="F244" s="1">
        <v>48929</v>
      </c>
      <c r="G244">
        <v>6221.1380000000008</v>
      </c>
      <c r="H244">
        <v>0.177457</v>
      </c>
      <c r="J244" s="3">
        <f>(F244-A244)/365</f>
        <v>8.0602739726027401</v>
      </c>
      <c r="K244" s="3">
        <f>(LN(D244/G244)+H244^2*J244/2)/(H244*SQRT(J244))</f>
        <v>0.20821447909324384</v>
      </c>
      <c r="L244" s="3">
        <f>K244-H244*SQRT(J244)</f>
        <v>-0.29559697539203267</v>
      </c>
      <c r="M244" s="3">
        <f>EXP(-E244*J244)*(D244*_xlfn.NORM.DIST(K244,0,1,TRUE)-G244*_xlfn.NORM.DIST(L244,0,1,TRUE))</f>
        <v>953.51601155642129</v>
      </c>
      <c r="N244" s="3">
        <f>EXP(-E244*J244)*(G244*_xlfn.NORM.DIST(-L244,0,1,TRUE)-D244*_xlfn.NORM.DIST(-K244,0,1,TRUE))</f>
        <v>1065.1154707638068</v>
      </c>
      <c r="O244" s="3" t="b">
        <f>(M244-N244)=EXP(-E244*J244)*(D244-G244)</f>
        <v>1</v>
      </c>
    </row>
    <row r="245" spans="1:15" x14ac:dyDescent="0.3">
      <c r="A245" s="1">
        <v>45987</v>
      </c>
      <c r="B245" t="s">
        <v>16</v>
      </c>
      <c r="C245">
        <v>5655.58</v>
      </c>
      <c r="D245">
        <v>6085.69355</v>
      </c>
      <c r="E245" s="2">
        <v>2.4024665873267112E-2</v>
      </c>
      <c r="F245" s="1">
        <v>48929</v>
      </c>
      <c r="G245">
        <v>6786.6959999999999</v>
      </c>
      <c r="H245">
        <v>0.16917699999999999</v>
      </c>
      <c r="J245" s="3">
        <f>(F245-A245)/365</f>
        <v>8.0602739726027401</v>
      </c>
      <c r="K245" s="3">
        <f>(LN(D245/G245)+H245^2*J245/2)/(H245*SQRT(J245))</f>
        <v>1.3163428106007662E-2</v>
      </c>
      <c r="L245" s="3">
        <f>K245-H245*SQRT(J245)</f>
        <v>-0.46714059165909388</v>
      </c>
      <c r="M245" s="3">
        <f>EXP(-E245*J245)*(D245*_xlfn.NORM.DIST(K245,0,1,TRUE)-G245*_xlfn.NORM.DIST(L245,0,1,TRUE))</f>
        <v>742.96142363084198</v>
      </c>
      <c r="N245" s="3">
        <f>EXP(-E245*J245)*(G245*_xlfn.NORM.DIST(-L245,0,1,TRUE)-D245*_xlfn.NORM.DIST(-K245,0,1,TRUE))</f>
        <v>1320.5524162706431</v>
      </c>
      <c r="O245" s="3" t="b">
        <f>(M245-N245)=EXP(-E245*J245)*(D245-G245)</f>
        <v>1</v>
      </c>
    </row>
    <row r="246" spans="1:15" x14ac:dyDescent="0.3">
      <c r="A246" s="1">
        <v>45987</v>
      </c>
      <c r="B246" t="s">
        <v>16</v>
      </c>
      <c r="C246">
        <v>5655.58</v>
      </c>
      <c r="D246">
        <v>6085.69355</v>
      </c>
      <c r="E246" s="2">
        <v>2.4024665873267112E-2</v>
      </c>
      <c r="F246" s="1">
        <v>48929</v>
      </c>
      <c r="G246">
        <v>7352.2539999999999</v>
      </c>
      <c r="H246">
        <v>0.162858</v>
      </c>
      <c r="J246" s="3">
        <f>(F246-A246)/365</f>
        <v>8.0602739726027401</v>
      </c>
      <c r="K246" s="3">
        <f>(LN(D246/G246)+H246^2*J246/2)/(H246*SQRT(J246))</f>
        <v>-0.17773012320922615</v>
      </c>
      <c r="L246" s="3">
        <f>K246-H246*SQRT(J246)</f>
        <v>-0.64009410915829079</v>
      </c>
      <c r="M246" s="3">
        <f>EXP(-E246*J246)*(D246*_xlfn.NORM.DIST(K246,0,1,TRUE)-G246*_xlfn.NORM.DIST(L246,0,1,TRUE))</f>
        <v>572.03513026126564</v>
      </c>
      <c r="N246" s="3">
        <f>EXP(-E246*J246)*(G246*_xlfn.NORM.DIST(-L246,0,1,TRUE)-D246*_xlfn.NORM.DIST(-K246,0,1,TRUE))</f>
        <v>1615.6176563334825</v>
      </c>
      <c r="O246" s="3" t="b">
        <f>(M246-N246)=EXP(-E246*J246)*(D246-G246)</f>
        <v>1</v>
      </c>
    </row>
    <row r="247" spans="1:15" x14ac:dyDescent="0.3">
      <c r="A247" s="1">
        <v>45987</v>
      </c>
      <c r="B247" t="s">
        <v>16</v>
      </c>
      <c r="C247">
        <v>5655.58</v>
      </c>
      <c r="D247">
        <v>6085.69355</v>
      </c>
      <c r="E247" s="2">
        <v>2.4024665873267112E-2</v>
      </c>
      <c r="F247" s="1">
        <v>48929</v>
      </c>
      <c r="G247">
        <v>7917.8119999999999</v>
      </c>
      <c r="H247">
        <v>0.15845000000000001</v>
      </c>
      <c r="J247" s="3">
        <f>(F247-A247)/365</f>
        <v>8.0602739726027401</v>
      </c>
      <c r="K247" s="3">
        <f>(LN(D247/G247)+H247^2*J247/2)/(H247*SQRT(J247))</f>
        <v>-0.3601026628304424</v>
      </c>
      <c r="L247" s="3">
        <f>K247-H247*SQRT(J247)</f>
        <v>-0.80995206275939458</v>
      </c>
      <c r="M247" s="3">
        <f>EXP(-E247*J247)*(D247*_xlfn.NORM.DIST(K247,0,1,TRUE)-G247*_xlfn.NORM.DIST(L247,0,1,TRUE))</f>
        <v>438.68181822063485</v>
      </c>
      <c r="N247" s="3">
        <f>EXP(-E247*J247)*(G247*_xlfn.NORM.DIST(-L247,0,1,TRUE)-D247*_xlfn.NORM.DIST(-K247,0,1,TRUE))</f>
        <v>1948.2558777252673</v>
      </c>
      <c r="O247" s="3" t="b">
        <f>(M247-N247)=EXP(-E247*J247)*(D247-G247)</f>
        <v>1</v>
      </c>
    </row>
    <row r="248" spans="1:15" x14ac:dyDescent="0.3">
      <c r="A248" s="1">
        <v>45987</v>
      </c>
      <c r="B248" t="s">
        <v>16</v>
      </c>
      <c r="C248">
        <v>5655.58</v>
      </c>
      <c r="D248">
        <v>6085.69355</v>
      </c>
      <c r="E248" s="2">
        <v>2.4024665873267112E-2</v>
      </c>
      <c r="F248" s="1">
        <v>48929</v>
      </c>
      <c r="G248">
        <v>8483.3700000000008</v>
      </c>
      <c r="H248">
        <v>0.155782</v>
      </c>
      <c r="J248" s="3">
        <f>(F248-A248)/365</f>
        <v>8.0602739726027401</v>
      </c>
      <c r="K248" s="3">
        <f>(LN(D248/G248)+H248^2*J248/2)/(H248*SQRT(J248))</f>
        <v>-0.52990493162030028</v>
      </c>
      <c r="L248" s="3">
        <f>K248-H248*SQRT(J248)</f>
        <v>-0.97217971369497391</v>
      </c>
      <c r="M248" s="3">
        <f>EXP(-E248*J248)*(D248*_xlfn.NORM.DIST(K248,0,1,TRUE)-G248*_xlfn.NORM.DIST(L248,0,1,TRUE))</f>
        <v>338.02129016035252</v>
      </c>
      <c r="N248" s="3">
        <f>EXP(-E248*J248)*(G248*_xlfn.NORM.DIST(-L248,0,1,TRUE)-D248*_xlfn.NORM.DIST(-K248,0,1,TRUE))</f>
        <v>2313.5868830974018</v>
      </c>
      <c r="O248" s="3" t="b">
        <f>(M248-N248)=EXP(-E248*J248)*(D248-G248)</f>
        <v>1</v>
      </c>
    </row>
    <row r="249" spans="1:15" x14ac:dyDescent="0.3">
      <c r="A249" s="1">
        <v>45987</v>
      </c>
      <c r="B249" t="s">
        <v>16</v>
      </c>
      <c r="C249">
        <v>5655.58</v>
      </c>
      <c r="D249">
        <v>6217.1291000000001</v>
      </c>
      <c r="E249" s="2">
        <v>2.4759597807702403E-2</v>
      </c>
      <c r="F249" s="1">
        <v>49293</v>
      </c>
      <c r="G249">
        <v>2827.79</v>
      </c>
      <c r="H249">
        <v>0.27111800000000003</v>
      </c>
      <c r="J249" s="3">
        <f>(F249-A249)/365</f>
        <v>9.0575342465753419</v>
      </c>
      <c r="K249" s="3">
        <f>(LN(D249/G249)+H249^2*J249/2)/(H249*SQRT(J249))</f>
        <v>1.373491226150976</v>
      </c>
      <c r="L249" s="3">
        <f>K249-H249*SQRT(J249)</f>
        <v>0.55754160614976489</v>
      </c>
      <c r="M249" s="3">
        <f>EXP(-E249*J249)*(D249*_xlfn.NORM.DIST(K249,0,1,TRUE)-G249*_xlfn.NORM.DIST(L249,0,1,TRUE))</f>
        <v>2939.2480205385082</v>
      </c>
      <c r="N249" s="3">
        <f>EXP(-E249*J249)*(G249*_xlfn.NORM.DIST(-L249,0,1,TRUE)-D249*_xlfn.NORM.DIST(-K249,0,1,TRUE))</f>
        <v>230.80472119185109</v>
      </c>
      <c r="O249" s="3" t="b">
        <f>(M249-N249)=EXP(-E249*J249)*(D249-G249)</f>
        <v>1</v>
      </c>
    </row>
    <row r="250" spans="1:15" x14ac:dyDescent="0.3">
      <c r="A250" s="1">
        <v>45987</v>
      </c>
      <c r="B250" t="s">
        <v>16</v>
      </c>
      <c r="C250">
        <v>5655.58</v>
      </c>
      <c r="D250">
        <v>6217.1291000000001</v>
      </c>
      <c r="E250" s="2">
        <v>2.4759597807702403E-2</v>
      </c>
      <c r="F250" s="1">
        <v>49293</v>
      </c>
      <c r="G250">
        <v>3393.348</v>
      </c>
      <c r="H250">
        <v>0.25006600000000001</v>
      </c>
      <c r="J250" s="3">
        <f>(F250-A250)/365</f>
        <v>9.0575342465753419</v>
      </c>
      <c r="K250" s="3">
        <f>(LN(D250/G250)+H250^2*J250/2)/(H250*SQRT(J250))</f>
        <v>1.1808370591175232</v>
      </c>
      <c r="L250" s="3">
        <f>K250-H250*SQRT(J250)</f>
        <v>0.42824498601568994</v>
      </c>
      <c r="M250" s="3">
        <f>EXP(-E250*J250)*(D250*_xlfn.NORM.DIST(K250,0,1,TRUE)-G250*_xlfn.NORM.DIST(L250,0,1,TRUE))</f>
        <v>2572.449518559672</v>
      </c>
      <c r="N250" s="3">
        <f>EXP(-E250*J250)*(G250*_xlfn.NORM.DIST(-L250,0,1,TRUE)-D250*_xlfn.NORM.DIST(-K250,0,1,TRUE))</f>
        <v>315.94735885640398</v>
      </c>
      <c r="O250" s="3" t="b">
        <f>(M250-N250)=EXP(-E250*J250)*(D250-G250)</f>
        <v>1</v>
      </c>
    </row>
    <row r="251" spans="1:15" x14ac:dyDescent="0.3">
      <c r="A251" s="1">
        <v>45987</v>
      </c>
      <c r="B251" t="s">
        <v>16</v>
      </c>
      <c r="C251">
        <v>5655.58</v>
      </c>
      <c r="D251">
        <v>6217.1291000000001</v>
      </c>
      <c r="E251" s="2">
        <v>2.4759597807702403E-2</v>
      </c>
      <c r="F251" s="1">
        <v>49293</v>
      </c>
      <c r="G251">
        <v>3958.9059999999999</v>
      </c>
      <c r="H251">
        <v>0.23209399999999999</v>
      </c>
      <c r="J251" s="3">
        <f>(F251-A251)/365</f>
        <v>9.0575342465753419</v>
      </c>
      <c r="K251" s="3">
        <f>(LN(D251/G251)+H251^2*J251/2)/(H251*SQRT(J251))</f>
        <v>0.99540508182000176</v>
      </c>
      <c r="L251" s="3">
        <f>K251-H251*SQRT(J251)</f>
        <v>0.2969010684215514</v>
      </c>
      <c r="M251" s="3">
        <f>EXP(-E251*J251)*(D251*_xlfn.NORM.DIST(K251,0,1,TRUE)-G251*_xlfn.NORM.DIST(L251,0,1,TRUE))</f>
        <v>2223.3132150865281</v>
      </c>
      <c r="N251" s="3">
        <f>EXP(-E251*J251)*(G251*_xlfn.NORM.DIST(-L251,0,1,TRUE)-D251*_xlfn.NORM.DIST(-K251,0,1,TRUE))</f>
        <v>418.75219502664868</v>
      </c>
      <c r="O251" s="3" t="b">
        <f>(M251-N251)=EXP(-E251*J251)*(D251-G251)</f>
        <v>1</v>
      </c>
    </row>
    <row r="252" spans="1:15" x14ac:dyDescent="0.3">
      <c r="A252" s="1">
        <v>45987</v>
      </c>
      <c r="B252" t="s">
        <v>16</v>
      </c>
      <c r="C252">
        <v>5655.58</v>
      </c>
      <c r="D252">
        <v>6217.1291000000001</v>
      </c>
      <c r="E252" s="2">
        <v>2.4759597807702403E-2</v>
      </c>
      <c r="F252" s="1">
        <v>49293</v>
      </c>
      <c r="G252">
        <v>4524.4639999999999</v>
      </c>
      <c r="H252">
        <v>0.21654899999999999</v>
      </c>
      <c r="J252" s="3">
        <f>(F252-A252)/365</f>
        <v>9.0575342465753419</v>
      </c>
      <c r="K252" s="3">
        <f>(LN(D252/G252)+H252^2*J252/2)/(H252*SQRT(J252))</f>
        <v>0.81350667802648169</v>
      </c>
      <c r="L252" s="3">
        <f>K252-H252*SQRT(J252)</f>
        <v>0.16178648880392099</v>
      </c>
      <c r="M252" s="3">
        <f>EXP(-E252*J252)*(D252*_xlfn.NORM.DIST(K252,0,1,TRUE)-G252*_xlfn.NORM.DIST(L252,0,1,TRUE))</f>
        <v>1894.8444872319094</v>
      </c>
      <c r="N252" s="3">
        <f>EXP(-E252*J252)*(G252*_xlfn.NORM.DIST(-L252,0,1,TRUE)-D252*_xlfn.NORM.DIST(-K252,0,1,TRUE))</f>
        <v>542.22460681541816</v>
      </c>
      <c r="O252" s="3" t="b">
        <f>(M252-N252)=EXP(-E252*J252)*(D252-G252)</f>
        <v>1</v>
      </c>
    </row>
    <row r="253" spans="1:15" x14ac:dyDescent="0.3">
      <c r="A253" s="1">
        <v>45987</v>
      </c>
      <c r="B253" t="s">
        <v>16</v>
      </c>
      <c r="C253">
        <v>5655.58</v>
      </c>
      <c r="D253">
        <v>6217.1291000000001</v>
      </c>
      <c r="E253" s="2">
        <v>2.4759597807702403E-2</v>
      </c>
      <c r="F253" s="1">
        <v>49293</v>
      </c>
      <c r="G253">
        <v>5090.0219999999999</v>
      </c>
      <c r="H253">
        <v>0.20306299999999999</v>
      </c>
      <c r="J253" s="3">
        <f>(F253-A253)/365</f>
        <v>9.0575342465753419</v>
      </c>
      <c r="K253" s="3">
        <f>(LN(D253/G253)+H253^2*J253/2)/(H253*SQRT(J253))</f>
        <v>0.63287019048575044</v>
      </c>
      <c r="L253" s="3">
        <f>K253-H253*SQRT(J253)</f>
        <v>2.173711305708137E-2</v>
      </c>
      <c r="M253" s="3">
        <f>EXP(-E253*J253)*(D253*_xlfn.NORM.DIST(K253,0,1,TRUE)-G253*_xlfn.NORM.DIST(L253,0,1,TRUE))</f>
        <v>1590.4879488603008</v>
      </c>
      <c r="N253" s="3">
        <f>EXP(-E253*J253)*(G253*_xlfn.NORM.DIST(-L253,0,1,TRUE)-D253*_xlfn.NORM.DIST(-K253,0,1,TRUE))</f>
        <v>689.8092080871977</v>
      </c>
      <c r="O253" s="3" t="b">
        <f>(M253-N253)=EXP(-E253*J253)*(D253-G253)</f>
        <v>1</v>
      </c>
    </row>
    <row r="254" spans="1:15" x14ac:dyDescent="0.3">
      <c r="A254" s="1">
        <v>45987</v>
      </c>
      <c r="B254" t="s">
        <v>16</v>
      </c>
      <c r="C254">
        <v>5655.58</v>
      </c>
      <c r="D254">
        <v>6217.1291000000001</v>
      </c>
      <c r="E254" s="2">
        <v>2.4759597807702403E-2</v>
      </c>
      <c r="F254" s="1">
        <v>49293</v>
      </c>
      <c r="G254">
        <v>5372.8009999999995</v>
      </c>
      <c r="H254">
        <v>0.19702800000000001</v>
      </c>
      <c r="J254" s="3">
        <f>(F254-A254)/365</f>
        <v>9.0575342465753419</v>
      </c>
      <c r="K254" s="3">
        <f>(LN(D254/G254)+H254^2*J254/2)/(H254*SQRT(J254))</f>
        <v>0.54263384695533523</v>
      </c>
      <c r="L254" s="3">
        <f>K254-H254*SQRT(J254)</f>
        <v>-5.0336452801960863E-2</v>
      </c>
      <c r="M254" s="3">
        <f>EXP(-E254*J254)*(D254*_xlfn.NORM.DIST(K254,0,1,TRUE)-G254*_xlfn.NORM.DIST(L254,0,1,TRUE))</f>
        <v>1448.5097574667793</v>
      </c>
      <c r="N254" s="3">
        <f>EXP(-E254*J254)*(G254*_xlfn.NORM.DIST(-L254,0,1,TRUE)-D254*_xlfn.NORM.DIST(-K254,0,1,TRUE))</f>
        <v>773.80158651536954</v>
      </c>
      <c r="O254" s="3" t="b">
        <f>(M254-N254)=EXP(-E254*J254)*(D254-G254)</f>
        <v>0</v>
      </c>
    </row>
    <row r="255" spans="1:15" x14ac:dyDescent="0.3">
      <c r="A255" s="1">
        <v>45987</v>
      </c>
      <c r="B255" t="s">
        <v>16</v>
      </c>
      <c r="C255">
        <v>5655.58</v>
      </c>
      <c r="D255">
        <v>6217.1291000000001</v>
      </c>
      <c r="E255" s="2">
        <v>2.4759597807702403E-2</v>
      </c>
      <c r="F255" s="1">
        <v>49293</v>
      </c>
      <c r="G255">
        <v>5655.58</v>
      </c>
      <c r="H255">
        <v>0.19144900000000001</v>
      </c>
      <c r="J255" s="3">
        <f>(F255-A255)/365</f>
        <v>9.0575342465753419</v>
      </c>
      <c r="K255" s="3">
        <f>(LN(D255/G255)+H255^2*J255/2)/(H255*SQRT(J255))</f>
        <v>0.4523885844769428</v>
      </c>
      <c r="L255" s="3">
        <f>K255-H255*SQRT(J255)</f>
        <v>-0.12379130324578985</v>
      </c>
      <c r="M255" s="3">
        <f>EXP(-E255*J255)*(D255*_xlfn.NORM.DIST(K255,0,1,TRUE)-G255*_xlfn.NORM.DIST(L255,0,1,TRUE))</f>
        <v>1313.9629885419945</v>
      </c>
      <c r="N255" s="3">
        <f>EXP(-E255*J255)*(G255*_xlfn.NORM.DIST(-L255,0,1,TRUE)-D255*_xlfn.NORM.DIST(-K255,0,1,TRUE))</f>
        <v>865.22538741227925</v>
      </c>
      <c r="O255" s="3" t="b">
        <f>(M255-N255)=EXP(-E255*J255)*(D255-G255)</f>
        <v>1</v>
      </c>
    </row>
    <row r="256" spans="1:15" x14ac:dyDescent="0.3">
      <c r="A256" s="1">
        <v>45987</v>
      </c>
      <c r="B256" t="s">
        <v>16</v>
      </c>
      <c r="C256">
        <v>5655.58</v>
      </c>
      <c r="D256">
        <v>6217.1291000000001</v>
      </c>
      <c r="E256" s="2">
        <v>2.4759597807702403E-2</v>
      </c>
      <c r="F256" s="1">
        <v>49293</v>
      </c>
      <c r="G256">
        <v>5938.3590000000004</v>
      </c>
      <c r="H256">
        <v>0.18631900000000001</v>
      </c>
      <c r="J256" s="3">
        <f>(F256-A256)/365</f>
        <v>9.0575342465753419</v>
      </c>
      <c r="K256" s="3">
        <f>(LN(D256/G256)+H256^2*J256/2)/(H256*SQRT(J256))</f>
        <v>0.36218253678800222</v>
      </c>
      <c r="L256" s="3">
        <f>K256-H256*SQRT(J256)</f>
        <v>-0.19855823752062224</v>
      </c>
      <c r="M256" s="3">
        <f>EXP(-E256*J256)*(D256*_xlfn.NORM.DIST(K256,0,1,TRUE)-G256*_xlfn.NORM.DIST(L256,0,1,TRUE))</f>
        <v>1187.2827701722304</v>
      </c>
      <c r="N256" s="3">
        <f>EXP(-E256*J256)*(G256*_xlfn.NORM.DIST(-L256,0,1,TRUE)-D256*_xlfn.NORM.DIST(-K256,0,1,TRUE))</f>
        <v>964.51573886421022</v>
      </c>
      <c r="O256" s="3" t="b">
        <f>(M256-N256)=EXP(-E256*J256)*(D256-G256)</f>
        <v>1</v>
      </c>
    </row>
    <row r="257" spans="1:15" x14ac:dyDescent="0.3">
      <c r="A257" s="1">
        <v>45987</v>
      </c>
      <c r="B257" t="s">
        <v>16</v>
      </c>
      <c r="C257">
        <v>5655.58</v>
      </c>
      <c r="D257">
        <v>6217.1291000000001</v>
      </c>
      <c r="E257" s="2">
        <v>2.4759597807702403E-2</v>
      </c>
      <c r="F257" s="1">
        <v>49293</v>
      </c>
      <c r="G257">
        <v>6221.1380000000008</v>
      </c>
      <c r="H257">
        <v>0.18163699999999999</v>
      </c>
      <c r="J257" s="3">
        <f>(F257-A257)/365</f>
        <v>9.0575342465753419</v>
      </c>
      <c r="K257" s="3">
        <f>(LN(D257/G257)+H257^2*J257/2)/(H257*SQRT(J257))</f>
        <v>0.27214577884790359</v>
      </c>
      <c r="L257" s="3">
        <f>K257-H257*SQRT(J257)</f>
        <v>-0.27450417109330261</v>
      </c>
      <c r="M257" s="3">
        <f>EXP(-E257*J257)*(D257*_xlfn.NORM.DIST(K257,0,1,TRUE)-G257*_xlfn.NORM.DIST(L257,0,1,TRUE))</f>
        <v>1068.8662815423086</v>
      </c>
      <c r="N257" s="3">
        <f>EXP(-E257*J257)*(G257*_xlfn.NORM.DIST(-L257,0,1,TRUE)-D257*_xlfn.NORM.DIST(-K257,0,1,TRUE))</f>
        <v>1072.069820055983</v>
      </c>
      <c r="O257" s="3" t="b">
        <f>(M257-N257)=EXP(-E257*J257)*(D257-G257)</f>
        <v>0</v>
      </c>
    </row>
    <row r="258" spans="1:15" x14ac:dyDescent="0.3">
      <c r="A258" s="1">
        <v>45987</v>
      </c>
      <c r="B258" t="s">
        <v>16</v>
      </c>
      <c r="C258">
        <v>5655.58</v>
      </c>
      <c r="D258">
        <v>6217.1291000000001</v>
      </c>
      <c r="E258" s="2">
        <v>2.4759597807702403E-2</v>
      </c>
      <c r="F258" s="1">
        <v>49293</v>
      </c>
      <c r="G258">
        <v>6786.6959999999999</v>
      </c>
      <c r="H258">
        <v>0.173619</v>
      </c>
      <c r="J258" s="3">
        <f>(F258-A258)/365</f>
        <v>9.0575342465753419</v>
      </c>
      <c r="K258" s="3">
        <f>(LN(D258/G258)+H258^2*J258/2)/(H258*SQRT(J258))</f>
        <v>9.3503104437038811E-2</v>
      </c>
      <c r="L258" s="3">
        <f>K258-H258*SQRT(J258)</f>
        <v>-0.42901608305693151</v>
      </c>
      <c r="M258" s="3">
        <f>EXP(-E258*J258)*(D258*_xlfn.NORM.DIST(K258,0,1,TRUE)-G258*_xlfn.NORM.DIST(L258,0,1,TRUE))</f>
        <v>857.98823959283095</v>
      </c>
      <c r="N258" s="3">
        <f>EXP(-E258*J258)*(G258*_xlfn.NORM.DIST(-L258,0,1,TRUE)-D258*_xlfn.NORM.DIST(-K258,0,1,TRUE))</f>
        <v>1313.1329177498928</v>
      </c>
      <c r="O258" s="3" t="b">
        <f>(M258-N258)=EXP(-E258*J258)*(D258-G258)</f>
        <v>1</v>
      </c>
    </row>
    <row r="259" spans="1:15" x14ac:dyDescent="0.3">
      <c r="A259" s="1">
        <v>45987</v>
      </c>
      <c r="B259" t="s">
        <v>16</v>
      </c>
      <c r="C259">
        <v>5655.58</v>
      </c>
      <c r="D259">
        <v>6217.1291000000001</v>
      </c>
      <c r="E259" s="2">
        <v>2.4759597807702403E-2</v>
      </c>
      <c r="F259" s="1">
        <v>49293</v>
      </c>
      <c r="G259">
        <v>7352.2539999999999</v>
      </c>
      <c r="H259">
        <v>0.16739299999999999</v>
      </c>
      <c r="J259" s="3">
        <f>(F259-A259)/365</f>
        <v>9.0575342465753419</v>
      </c>
      <c r="K259" s="3">
        <f>(LN(D259/G259)+H259^2*J259/2)/(H259*SQRT(J259))</f>
        <v>-8.0988970000949193E-2</v>
      </c>
      <c r="L259" s="3">
        <f>K259-H259*SQRT(J259)</f>
        <v>-0.58477055123444421</v>
      </c>
      <c r="M259" s="3">
        <f>EXP(-E259*J259)*(D259*_xlfn.NORM.DIST(K259,0,1,TRUE)-G259*_xlfn.NORM.DIST(L259,0,1,TRUE))</f>
        <v>682.47654434591595</v>
      </c>
      <c r="N259" s="3">
        <f>EXP(-E259*J259)*(G259*_xlfn.NORM.DIST(-L259,0,1,TRUE)-D259*_xlfn.NORM.DIST(-K259,0,1,TRUE))</f>
        <v>1589.5623621463669</v>
      </c>
      <c r="O259" s="3" t="b">
        <f>(M259-N259)=EXP(-E259*J259)*(D259-G259)</f>
        <v>1</v>
      </c>
    </row>
    <row r="260" spans="1:15" x14ac:dyDescent="0.3">
      <c r="A260" s="1">
        <v>45987</v>
      </c>
      <c r="B260" t="s">
        <v>16</v>
      </c>
      <c r="C260">
        <v>5655.58</v>
      </c>
      <c r="D260">
        <v>6217.1291000000001</v>
      </c>
      <c r="E260" s="2">
        <v>2.4759597807702403E-2</v>
      </c>
      <c r="F260" s="1">
        <v>49293</v>
      </c>
      <c r="G260">
        <v>7917.8119999999999</v>
      </c>
      <c r="H260">
        <v>0.162908</v>
      </c>
      <c r="J260" s="3">
        <f>(F260-A260)/365</f>
        <v>9.0575342465753419</v>
      </c>
      <c r="K260" s="3">
        <f>(LN(D260/G260)+H260^2*J260/2)/(H260*SQRT(J260))</f>
        <v>-0.24805567314661178</v>
      </c>
      <c r="L260" s="3">
        <f>K260-H260*SQRT(J260)</f>
        <v>-0.73833931604438052</v>
      </c>
      <c r="M260" s="3">
        <f>EXP(-E260*J260)*(D260*_xlfn.NORM.DIST(K260,0,1,TRUE)-G260*_xlfn.NORM.DIST(L260,0,1,TRUE))</f>
        <v>541.19702868165723</v>
      </c>
      <c r="N260" s="3">
        <f>EXP(-E260*J260)*(G260*_xlfn.NORM.DIST(-L260,0,1,TRUE)-D260*_xlfn.NORM.DIST(-K260,0,1,TRUE))</f>
        <v>1900.2239861254961</v>
      </c>
      <c r="O260" s="3" t="b">
        <f>(M260-N260)=EXP(-E260*J260)*(D260-G260)</f>
        <v>1</v>
      </c>
    </row>
    <row r="261" spans="1:15" x14ac:dyDescent="0.3">
      <c r="A261" s="1">
        <v>45987</v>
      </c>
      <c r="B261" t="s">
        <v>16</v>
      </c>
      <c r="C261">
        <v>5655.58</v>
      </c>
      <c r="D261">
        <v>6217.1291000000001</v>
      </c>
      <c r="E261" s="2">
        <v>2.4759597807702403E-2</v>
      </c>
      <c r="F261" s="1">
        <v>49293</v>
      </c>
      <c r="G261">
        <v>8483.3700000000008</v>
      </c>
      <c r="H261">
        <v>0.160021</v>
      </c>
      <c r="J261" s="3">
        <f>(F261-A261)/365</f>
        <v>9.0575342465753419</v>
      </c>
      <c r="K261" s="3">
        <f>(LN(D261/G261)+H261^2*J261/2)/(H261*SQRT(J261))</f>
        <v>-0.40455706713282608</v>
      </c>
      <c r="L261" s="3">
        <f>K261-H261*SQRT(J261)</f>
        <v>-0.88615207057123213</v>
      </c>
      <c r="M261" s="3">
        <f>EXP(-E261*J261)*(D261*_xlfn.NORM.DIST(K261,0,1,TRUE)-G261*_xlfn.NORM.DIST(L261,0,1,TRUE))</f>
        <v>430.68618766238387</v>
      </c>
      <c r="N261" s="3">
        <f>EXP(-E261*J261)*(G261*_xlfn.NORM.DIST(-L261,0,1,TRUE)-D261*_xlfn.NORM.DIST(-K261,0,1,TRUE))</f>
        <v>2241.6542847496116</v>
      </c>
      <c r="O261" s="3" t="b">
        <f>(M261-N261)=EXP(-E261*J261)*(D261-G261)</f>
        <v>1</v>
      </c>
    </row>
    <row r="262" spans="1:15" x14ac:dyDescent="0.3">
      <c r="A262" s="1">
        <v>45987</v>
      </c>
      <c r="B262" t="s">
        <v>16</v>
      </c>
      <c r="C262">
        <v>5655.58</v>
      </c>
      <c r="D262">
        <v>6368.3197899999996</v>
      </c>
      <c r="E262" s="2">
        <v>2.5449206588648656E-2</v>
      </c>
      <c r="F262" s="1">
        <v>49664</v>
      </c>
      <c r="G262">
        <v>2827.79</v>
      </c>
      <c r="H262">
        <v>0.27326099999999998</v>
      </c>
      <c r="J262" s="3">
        <f>(F262-A262)/365</f>
        <v>10.073972602739726</v>
      </c>
      <c r="K262" s="3">
        <f>(LN(D262/G262)+H262^2*J262/2)/(H262*SQRT(J262))</f>
        <v>1.3696945745329596</v>
      </c>
      <c r="L262" s="3">
        <f>K262-H262*SQRT(J262)</f>
        <v>0.50237722090834624</v>
      </c>
      <c r="M262" s="3">
        <f>EXP(-E262*J262)*(D262*_xlfn.NORM.DIST(K262,0,1,TRUE)-G262*_xlfn.NORM.DIST(L262,0,1,TRUE))</f>
        <v>2992.366479064156</v>
      </c>
      <c r="N262" s="3">
        <f>EXP(-E262*J262)*(G262*_xlfn.NORM.DIST(-L262,0,1,TRUE)-D262*_xlfn.NORM.DIST(-K262,0,1,TRUE))</f>
        <v>252.52034271927326</v>
      </c>
      <c r="O262" s="3" t="b">
        <f>(M262-N262)=EXP(-E262*J262)*(D262-G262)</f>
        <v>1</v>
      </c>
    </row>
    <row r="263" spans="1:15" x14ac:dyDescent="0.3">
      <c r="A263" s="1">
        <v>45987</v>
      </c>
      <c r="B263" t="s">
        <v>16</v>
      </c>
      <c r="C263">
        <v>5655.58</v>
      </c>
      <c r="D263">
        <v>6368.3197899999996</v>
      </c>
      <c r="E263" s="2">
        <v>2.5449206588648656E-2</v>
      </c>
      <c r="F263" s="1">
        <v>49664</v>
      </c>
      <c r="G263">
        <v>3393.348</v>
      </c>
      <c r="H263">
        <v>0.25273000000000001</v>
      </c>
      <c r="J263" s="3">
        <f>(F263-A263)/365</f>
        <v>10.073972602739726</v>
      </c>
      <c r="K263" s="3">
        <f>(LN(D263/G263)+H263^2*J263/2)/(H263*SQRT(J263))</f>
        <v>1.1858627485017614</v>
      </c>
      <c r="L263" s="3">
        <f>K263-H263*SQRT(J263)</f>
        <v>0.38370980760807893</v>
      </c>
      <c r="M263" s="3">
        <f>EXP(-E263*J263)*(D263*_xlfn.NORM.DIST(K263,0,1,TRUE)-G263*_xlfn.NORM.DIST(L263,0,1,TRUE))</f>
        <v>2642.1141768498769</v>
      </c>
      <c r="N263" s="3">
        <f>EXP(-E263*J263)*(G263*_xlfn.NORM.DIST(-L263,0,1,TRUE)-D263*_xlfn.NORM.DIST(-K263,0,1,TRUE))</f>
        <v>339.92624226777014</v>
      </c>
      <c r="O263" s="3" t="b">
        <f>(M263-N263)=EXP(-E263*J263)*(D263-G263)</f>
        <v>1</v>
      </c>
    </row>
    <row r="264" spans="1:15" x14ac:dyDescent="0.3">
      <c r="A264" s="1">
        <v>45987</v>
      </c>
      <c r="B264" t="s">
        <v>16</v>
      </c>
      <c r="C264">
        <v>5655.58</v>
      </c>
      <c r="D264">
        <v>6368.3197899999996</v>
      </c>
      <c r="E264" s="2">
        <v>2.5449206588648656E-2</v>
      </c>
      <c r="F264" s="1">
        <v>49664</v>
      </c>
      <c r="G264">
        <v>3958.9059999999999</v>
      </c>
      <c r="H264">
        <v>0.23522399999999999</v>
      </c>
      <c r="J264" s="3">
        <f>(F264-A264)/365</f>
        <v>10.073972602739726</v>
      </c>
      <c r="K264" s="3">
        <f>(LN(D264/G264)+H264^2*J264/2)/(H264*SQRT(J264))</f>
        <v>1.0100139639129941</v>
      </c>
      <c r="L264" s="3">
        <f>K264-H264*SQRT(J264)</f>
        <v>0.26342423032863316</v>
      </c>
      <c r="M264" s="3">
        <f>EXP(-E264*J264)*(D264*_xlfn.NORM.DIST(K264,0,1,TRUE)-G264*_xlfn.NORM.DIST(L264,0,1,TRUE))</f>
        <v>2308.0674667528897</v>
      </c>
      <c r="N264" s="3">
        <f>EXP(-E264*J264)*(G264*_xlfn.NORM.DIST(-L264,0,1,TRUE)-D264*_xlfn.NORM.DIST(-K264,0,1,TRUE))</f>
        <v>443.53773393355857</v>
      </c>
      <c r="O264" s="3" t="b">
        <f>(M264-N264)=EXP(-E264*J264)*(D264-G264)</f>
        <v>1</v>
      </c>
    </row>
    <row r="265" spans="1:15" x14ac:dyDescent="0.3">
      <c r="A265" s="1">
        <v>45987</v>
      </c>
      <c r="B265" t="s">
        <v>16</v>
      </c>
      <c r="C265">
        <v>5655.58</v>
      </c>
      <c r="D265">
        <v>6368.3197899999996</v>
      </c>
      <c r="E265" s="2">
        <v>2.5449206588648656E-2</v>
      </c>
      <c r="F265" s="1">
        <v>49664</v>
      </c>
      <c r="G265">
        <v>4524.4639999999999</v>
      </c>
      <c r="H265">
        <v>0.22009200000000001</v>
      </c>
      <c r="J265" s="3">
        <f>(F265-A265)/365</f>
        <v>10.073972602739726</v>
      </c>
      <c r="K265" s="3">
        <f>(LN(D265/G265)+H265^2*J265/2)/(H265*SQRT(J265))</f>
        <v>0.83862427956777719</v>
      </c>
      <c r="L265" s="3">
        <f>K265-H265*SQRT(J265)</f>
        <v>0.14006279075690253</v>
      </c>
      <c r="M265" s="3">
        <f>EXP(-E265*J265)*(D265*_xlfn.NORM.DIST(K265,0,1,TRUE)-G265*_xlfn.NORM.DIST(L265,0,1,TRUE))</f>
        <v>1992.7345023436708</v>
      </c>
      <c r="N265" s="3">
        <f>EXP(-E265*J265)*(G265*_xlfn.NORM.DIST(-L265,0,1,TRUE)-D265*_xlfn.NORM.DIST(-K265,0,1,TRUE))</f>
        <v>565.86297128711556</v>
      </c>
      <c r="O265" s="3" t="b">
        <f>(M265-N265)=EXP(-E265*J265)*(D265-G265)</f>
        <v>0</v>
      </c>
    </row>
    <row r="266" spans="1:15" x14ac:dyDescent="0.3">
      <c r="A266" s="1">
        <v>45987</v>
      </c>
      <c r="B266" t="s">
        <v>16</v>
      </c>
      <c r="C266">
        <v>5655.58</v>
      </c>
      <c r="D266">
        <v>6368.3197899999996</v>
      </c>
      <c r="E266" s="2">
        <v>2.5449206588648656E-2</v>
      </c>
      <c r="F266" s="1">
        <v>49664</v>
      </c>
      <c r="G266">
        <v>5090.0219999999999</v>
      </c>
      <c r="H266">
        <v>0.206959</v>
      </c>
      <c r="J266" s="3">
        <f>(F266-A266)/365</f>
        <v>10.073972602739726</v>
      </c>
      <c r="K266" s="3">
        <f>(LN(D266/G266)+H266^2*J266/2)/(H266*SQRT(J266))</f>
        <v>0.66952747172413662</v>
      </c>
      <c r="L266" s="3">
        <f>K266-H266*SQRT(J266)</f>
        <v>1.2649497227972262E-2</v>
      </c>
      <c r="M266" s="3">
        <f>EXP(-E266*J266)*(D266*_xlfn.NORM.DIST(K266,0,1,TRUE)-G266*_xlfn.NORM.DIST(L266,0,1,TRUE))</f>
        <v>1698.9798733777779</v>
      </c>
      <c r="N266" s="3">
        <f>EXP(-E266*J266)*(G266*_xlfn.NORM.DIST(-L266,0,1,TRUE)-D266*_xlfn.NORM.DIST(-K266,0,1,TRUE))</f>
        <v>709.76654408399952</v>
      </c>
      <c r="O266" s="3" t="b">
        <f>(M266-N266)=EXP(-E266*J266)*(D266-G266)</f>
        <v>1</v>
      </c>
    </row>
    <row r="267" spans="1:15" x14ac:dyDescent="0.3">
      <c r="A267" s="1">
        <v>45987</v>
      </c>
      <c r="B267" t="s">
        <v>16</v>
      </c>
      <c r="C267">
        <v>5655.58</v>
      </c>
      <c r="D267">
        <v>6368.3197899999996</v>
      </c>
      <c r="E267" s="2">
        <v>2.5449206588648656E-2</v>
      </c>
      <c r="F267" s="1">
        <v>49664</v>
      </c>
      <c r="G267">
        <v>5372.8009999999995</v>
      </c>
      <c r="H267">
        <v>0.201074</v>
      </c>
      <c r="J267" s="3">
        <f>(F267-A267)/365</f>
        <v>10.073972602739726</v>
      </c>
      <c r="K267" s="3">
        <f>(LN(D267/G267)+H267^2*J267/2)/(H267*SQRT(J267))</f>
        <v>0.58545263680308424</v>
      </c>
      <c r="L267" s="3">
        <f>K267-H267*SQRT(J267)</f>
        <v>-5.2746628963766917E-2</v>
      </c>
      <c r="M267" s="3">
        <f>EXP(-E267*J267)*(D267*_xlfn.NORM.DIST(K267,0,1,TRUE)-G267*_xlfn.NORM.DIST(L267,0,1,TRUE))</f>
        <v>1561.1611190847068</v>
      </c>
      <c r="N267" s="3">
        <f>EXP(-E267*J267)*(G267*_xlfn.NORM.DIST(-L267,0,1,TRUE)-D267*_xlfn.NORM.DIST(-K267,0,1,TRUE))</f>
        <v>790.77689067231563</v>
      </c>
      <c r="O267" s="3" t="b">
        <f>(M267-N267)=EXP(-E267*J267)*(D267-G267)</f>
        <v>1</v>
      </c>
    </row>
    <row r="268" spans="1:15" x14ac:dyDescent="0.3">
      <c r="A268" s="1">
        <v>45987</v>
      </c>
      <c r="B268" t="s">
        <v>16</v>
      </c>
      <c r="C268">
        <v>5655.58</v>
      </c>
      <c r="D268">
        <v>6368.3197899999996</v>
      </c>
      <c r="E268" s="2">
        <v>2.5449206588648656E-2</v>
      </c>
      <c r="F268" s="1">
        <v>49664</v>
      </c>
      <c r="G268">
        <v>5655.58</v>
      </c>
      <c r="H268">
        <v>0.19562199999999999</v>
      </c>
      <c r="J268" s="3">
        <f>(F268-A268)/365</f>
        <v>10.073972602739726</v>
      </c>
      <c r="K268" s="3">
        <f>(LN(D268/G268)+H268^2*J268/2)/(H268*SQRT(J268))</f>
        <v>0.5016118396018473</v>
      </c>
      <c r="L268" s="3">
        <f>K268-H268*SQRT(J268)</f>
        <v>-0.11928303874066815</v>
      </c>
      <c r="M268" s="3">
        <f>EXP(-E268*J268)*(D268*_xlfn.NORM.DIST(K268,0,1,TRUE)-G268*_xlfn.NORM.DIST(L268,0,1,TRUE))</f>
        <v>1429.9020661355055</v>
      </c>
      <c r="N268" s="3">
        <f>EXP(-E268*J268)*(G268*_xlfn.NORM.DIST(-L268,0,1,TRUE)-D268*_xlfn.NORM.DIST(-K268,0,1,TRUE))</f>
        <v>878.34693860450375</v>
      </c>
      <c r="O268" s="3" t="b">
        <f>(M268-N268)=EXP(-E268*J268)*(D268-G268)</f>
        <v>1</v>
      </c>
    </row>
    <row r="269" spans="1:15" x14ac:dyDescent="0.3">
      <c r="A269" s="1">
        <v>45987</v>
      </c>
      <c r="B269" t="s">
        <v>16</v>
      </c>
      <c r="C269">
        <v>5655.58</v>
      </c>
      <c r="D269">
        <v>6368.3197899999996</v>
      </c>
      <c r="E269" s="2">
        <v>2.5449206588648656E-2</v>
      </c>
      <c r="F269" s="1">
        <v>49664</v>
      </c>
      <c r="G269">
        <v>5938.3590000000004</v>
      </c>
      <c r="H269">
        <v>0.19059400000000001</v>
      </c>
      <c r="J269" s="3">
        <f>(F269-A269)/365</f>
        <v>10.073972602739726</v>
      </c>
      <c r="K269" s="3">
        <f>(LN(D269/G269)+H269^2*J269/2)/(H269*SQRT(J269))</f>
        <v>0.41802217280883097</v>
      </c>
      <c r="L269" s="3">
        <f>K269-H269*SQRT(J269)</f>
        <v>-0.18691407384447695</v>
      </c>
      <c r="M269" s="3">
        <f>EXP(-E269*J269)*(D269*_xlfn.NORM.DIST(K269,0,1,TRUE)-G269*_xlfn.NORM.DIST(L269,0,1,TRUE))</f>
        <v>1305.5768721058589</v>
      </c>
      <c r="N269" s="3">
        <f>EXP(-E269*J269)*(G269*_xlfn.NORM.DIST(-L269,0,1,TRUE)-D269*_xlfn.NORM.DIST(-K269,0,1,TRUE))</f>
        <v>972.85084545624511</v>
      </c>
      <c r="O269" s="3" t="b">
        <f>(M269-N269)=EXP(-E269*J269)*(D269-G269)</f>
        <v>1</v>
      </c>
    </row>
    <row r="270" spans="1:15" x14ac:dyDescent="0.3">
      <c r="A270" s="1">
        <v>45987</v>
      </c>
      <c r="B270" t="s">
        <v>16</v>
      </c>
      <c r="C270">
        <v>5655.58</v>
      </c>
      <c r="D270">
        <v>6368.3197899999996</v>
      </c>
      <c r="E270" s="2">
        <v>2.5449206588648656E-2</v>
      </c>
      <c r="F270" s="1">
        <v>49664</v>
      </c>
      <c r="G270">
        <v>6221.1380000000008</v>
      </c>
      <c r="H270">
        <v>0.18598500000000001</v>
      </c>
      <c r="J270" s="3">
        <f>(F270-A270)/365</f>
        <v>10.073972602739726</v>
      </c>
      <c r="K270" s="3">
        <f>(LN(D270/G270)+H270^2*J270/2)/(H270*SQRT(J270))</f>
        <v>0.33476499936443466</v>
      </c>
      <c r="L270" s="3">
        <f>K270-H270*SQRT(J270)</f>
        <v>-0.25554250157376629</v>
      </c>
      <c r="M270" s="3">
        <f>EXP(-E270*J270)*(D270*_xlfn.NORM.DIST(K270,0,1,TRUE)-G270*_xlfn.NORM.DIST(L270,0,1,TRUE))</f>
        <v>1188.5276203384406</v>
      </c>
      <c r="N270" s="3">
        <f>EXP(-E270*J270)*(G270*_xlfn.NORM.DIST(-L270,0,1,TRUE)-D270*_xlfn.NORM.DIST(-K270,0,1,TRUE))</f>
        <v>1074.6306945702149</v>
      </c>
      <c r="O270" s="3" t="b">
        <f>(M270-N270)=EXP(-E270*J270)*(D270-G270)</f>
        <v>0</v>
      </c>
    </row>
    <row r="271" spans="1:15" x14ac:dyDescent="0.3">
      <c r="A271" s="1">
        <v>45987</v>
      </c>
      <c r="B271" t="s">
        <v>16</v>
      </c>
      <c r="C271">
        <v>5655.58</v>
      </c>
      <c r="D271">
        <v>6368.3197899999996</v>
      </c>
      <c r="E271" s="2">
        <v>2.5449206588648656E-2</v>
      </c>
      <c r="F271" s="1">
        <v>49664</v>
      </c>
      <c r="G271">
        <v>6786.6959999999999</v>
      </c>
      <c r="H271">
        <v>0.17801600000000001</v>
      </c>
      <c r="J271" s="3">
        <f>(F271-A271)/365</f>
        <v>10.073972602739726</v>
      </c>
      <c r="K271" s="3">
        <f>(LN(D271/G271)+H271^2*J271/2)/(H271*SQRT(J271))</f>
        <v>0.16989306359170708</v>
      </c>
      <c r="L271" s="3">
        <f>K271-H271*SQRT(J271)</f>
        <v>-0.39512121222093799</v>
      </c>
      <c r="M271" s="3">
        <f>EXP(-E271*J271)*(D271*_xlfn.NORM.DIST(K271,0,1,TRUE)-G271*_xlfn.NORM.DIST(L271,0,1,TRUE))</f>
        <v>977.3502899631452</v>
      </c>
      <c r="N271" s="3">
        <f>EXP(-E271*J271)*(G271*_xlfn.NORM.DIST(-L271,0,1,TRUE)-D271*_xlfn.NORM.DIST(-K271,0,1,TRUE))</f>
        <v>1301.1115659576951</v>
      </c>
      <c r="O271" s="3" t="b">
        <f>(M271-N271)=EXP(-E271*J271)*(D271-G271)</f>
        <v>1</v>
      </c>
    </row>
    <row r="272" spans="1:15" x14ac:dyDescent="0.3">
      <c r="A272" s="1">
        <v>45987</v>
      </c>
      <c r="B272" t="s">
        <v>16</v>
      </c>
      <c r="C272">
        <v>5655.58</v>
      </c>
      <c r="D272">
        <v>6368.3197899999996</v>
      </c>
      <c r="E272" s="2">
        <v>2.5449206588648656E-2</v>
      </c>
      <c r="F272" s="1">
        <v>49664</v>
      </c>
      <c r="G272">
        <v>7352.2539999999999</v>
      </c>
      <c r="H272">
        <v>0.17169599999999999</v>
      </c>
      <c r="J272" s="3">
        <f>(F272-A272)/365</f>
        <v>10.073972602739726</v>
      </c>
      <c r="K272" s="3">
        <f>(LN(D272/G272)+H272^2*J272/2)/(H272*SQRT(J272))</f>
        <v>8.8386269367817152E-3</v>
      </c>
      <c r="L272" s="3">
        <f>K272-H272*SQRT(J272)</f>
        <v>-0.53611627093716152</v>
      </c>
      <c r="M272" s="3">
        <f>EXP(-E272*J272)*(D272*_xlfn.NORM.DIST(K272,0,1,TRUE)-G272*_xlfn.NORM.DIST(L272,0,1,TRUE))</f>
        <v>797.68320667601938</v>
      </c>
      <c r="N272" s="3">
        <f>EXP(-E272*J272)*(G272*_xlfn.NORM.DIST(-L272,0,1,TRUE)-D272*_xlfn.NORM.DIST(-K272,0,1,TRUE))</f>
        <v>1559.102684433346</v>
      </c>
      <c r="O272" s="3" t="b">
        <f>(M272-N272)=EXP(-E272*J272)*(D272-G272)</f>
        <v>0</v>
      </c>
    </row>
    <row r="273" spans="1:15" x14ac:dyDescent="0.3">
      <c r="A273" s="1">
        <v>45987</v>
      </c>
      <c r="B273" t="s">
        <v>16</v>
      </c>
      <c r="C273">
        <v>5655.58</v>
      </c>
      <c r="D273">
        <v>6368.3197899999996</v>
      </c>
      <c r="E273" s="2">
        <v>2.5449206588648656E-2</v>
      </c>
      <c r="F273" s="1">
        <v>49664</v>
      </c>
      <c r="G273">
        <v>7917.8119999999999</v>
      </c>
      <c r="H273">
        <v>0.16697899999999999</v>
      </c>
      <c r="J273" s="3">
        <f>(F273-A273)/365</f>
        <v>10.073972602739726</v>
      </c>
      <c r="K273" s="3">
        <f>(LN(D273/G273)+H273^2*J273/2)/(H273*SQRT(J273))</f>
        <v>-0.14592543988122125</v>
      </c>
      <c r="L273" s="3">
        <f>K273-H273*SQRT(J273)</f>
        <v>-0.67590880520186469</v>
      </c>
      <c r="M273" s="3">
        <f>EXP(-E273*J273)*(D273*_xlfn.NORM.DIST(K273,0,1,TRUE)-G273*_xlfn.NORM.DIST(L273,0,1,TRUE))</f>
        <v>649.14594115550915</v>
      </c>
      <c r="N273" s="3">
        <f>EXP(-E273*J273)*(G273*_xlfn.NORM.DIST(-L273,0,1,TRUE)-D273*_xlfn.NORM.DIST(-K273,0,1,TRUE))</f>
        <v>1848.2236206756113</v>
      </c>
      <c r="O273" s="3" t="b">
        <f>(M273-N273)=EXP(-E273*J273)*(D273-G273)</f>
        <v>1</v>
      </c>
    </row>
    <row r="274" spans="1:15" x14ac:dyDescent="0.3">
      <c r="A274" s="1">
        <v>45987</v>
      </c>
      <c r="B274" t="s">
        <v>16</v>
      </c>
      <c r="C274">
        <v>5655.58</v>
      </c>
      <c r="D274">
        <v>6368.3197899999996</v>
      </c>
      <c r="E274" s="2">
        <v>2.5449206588648656E-2</v>
      </c>
      <c r="F274" s="1">
        <v>49664</v>
      </c>
      <c r="G274">
        <v>8483.3700000000008</v>
      </c>
      <c r="H274">
        <v>0.16375400000000001</v>
      </c>
      <c r="J274" s="3">
        <f>(F274-A274)/365</f>
        <v>10.073972602739726</v>
      </c>
      <c r="K274" s="3">
        <f>(LN(D274/G274)+H274^2*J274/2)/(H274*SQRT(J274))</f>
        <v>-0.29187920102104425</v>
      </c>
      <c r="L274" s="3">
        <f>K274-H274*SQRT(J274)</f>
        <v>-0.8116265704789799</v>
      </c>
      <c r="M274" s="3">
        <f>EXP(-E274*J274)*(D274*_xlfn.NORM.DIST(K274,0,1,TRUE)-G274*_xlfn.NORM.DIST(L274,0,1,TRUE))</f>
        <v>529.47112543787784</v>
      </c>
      <c r="N274" s="3">
        <f>EXP(-E274*J274)*(G274*_xlfn.NORM.DIST(-L274,0,1,TRUE)-D274*_xlfn.NORM.DIST(-K274,0,1,TRUE))</f>
        <v>2166.2070067207565</v>
      </c>
      <c r="O274" s="3" t="b">
        <f>(M274-N274)=EXP(-E274*J274)*(D274-G274)</f>
        <v>1</v>
      </c>
    </row>
    <row r="275" spans="1:15" x14ac:dyDescent="0.3">
      <c r="A275" s="1">
        <v>45987</v>
      </c>
      <c r="B275" t="s">
        <v>16</v>
      </c>
      <c r="C275">
        <v>5655.58</v>
      </c>
      <c r="D275">
        <v>6510.3572800000002</v>
      </c>
      <c r="E275" s="2">
        <v>2.6078166925526388E-2</v>
      </c>
      <c r="F275" s="1">
        <v>50028</v>
      </c>
      <c r="G275">
        <v>2827.79</v>
      </c>
      <c r="H275">
        <v>0.27424799999999999</v>
      </c>
      <c r="J275" s="3">
        <f>(F275-A275)/365</f>
        <v>11.07123287671233</v>
      </c>
      <c r="K275" s="3">
        <f>(LN(D275/G275)+H275^2*J275/2)/(H275*SQRT(J275))</f>
        <v>1.3701027020425109</v>
      </c>
      <c r="L275" s="3">
        <f>K275-H275*SQRT(J275)</f>
        <v>0.45758465553053196</v>
      </c>
      <c r="M275" s="3">
        <f>EXP(-E275*J275)*(D275*_xlfn.NORM.DIST(K275,0,1,TRUE)-G275*_xlfn.NORM.DIST(L275,0,1,TRUE))</f>
        <v>3028.512727485811</v>
      </c>
      <c r="N275" s="3">
        <f>EXP(-E275*J275)*(G275*_xlfn.NORM.DIST(-L275,0,1,TRUE)-D275*_xlfn.NORM.DIST(-K275,0,1,TRUE))</f>
        <v>269.44544812163821</v>
      </c>
      <c r="O275" s="3" t="b">
        <f>(M275-N275)=EXP(-E275*J275)*(D275-G275)</f>
        <v>1</v>
      </c>
    </row>
    <row r="276" spans="1:15" x14ac:dyDescent="0.3">
      <c r="A276" s="1">
        <v>45987</v>
      </c>
      <c r="B276" t="s">
        <v>16</v>
      </c>
      <c r="C276">
        <v>5655.58</v>
      </c>
      <c r="D276">
        <v>6510.3572800000002</v>
      </c>
      <c r="E276" s="2">
        <v>2.6078166925526388E-2</v>
      </c>
      <c r="F276" s="1">
        <v>50028</v>
      </c>
      <c r="G276">
        <v>3393.348</v>
      </c>
      <c r="H276">
        <v>0.25450499999999998</v>
      </c>
      <c r="J276" s="3">
        <f>(F276-A276)/365</f>
        <v>11.07123287671233</v>
      </c>
      <c r="K276" s="3">
        <f>(LN(D276/G276)+H276^2*J276/2)/(H276*SQRT(J276))</f>
        <v>1.1928475771884186</v>
      </c>
      <c r="L276" s="3">
        <f>K276-H276*SQRT(J276)</f>
        <v>0.34602132712449396</v>
      </c>
      <c r="M276" s="3">
        <f>EXP(-E276*J276)*(D276*_xlfn.NORM.DIST(K276,0,1,TRUE)-G276*_xlfn.NORM.DIST(L276,0,1,TRUE))</f>
        <v>2694.3687148490876</v>
      </c>
      <c r="N276" s="3">
        <f>EXP(-E276*J276)*(G276*_xlfn.NORM.DIST(-L276,0,1,TRUE)-D276*_xlfn.NORM.DIST(-K276,0,1,TRUE))</f>
        <v>359.03098439423997</v>
      </c>
      <c r="O276" s="3" t="b">
        <f>(M276-N276)=EXP(-E276*J276)*(D276-G276)</f>
        <v>1</v>
      </c>
    </row>
    <row r="277" spans="1:15" x14ac:dyDescent="0.3">
      <c r="A277" s="1">
        <v>45987</v>
      </c>
      <c r="B277" t="s">
        <v>16</v>
      </c>
      <c r="C277">
        <v>5655.58</v>
      </c>
      <c r="D277">
        <v>6510.3572800000002</v>
      </c>
      <c r="E277" s="2">
        <v>2.6078166925526388E-2</v>
      </c>
      <c r="F277" s="1">
        <v>50028</v>
      </c>
      <c r="G277">
        <v>3958.9059999999999</v>
      </c>
      <c r="H277">
        <v>0.237676</v>
      </c>
      <c r="J277" s="3">
        <f>(F277-A277)/365</f>
        <v>11.07123287671233</v>
      </c>
      <c r="K277" s="3">
        <f>(LN(D277/G277)+H277^2*J277/2)/(H277*SQRT(J277))</f>
        <v>1.0244079977719545</v>
      </c>
      <c r="L277" s="3">
        <f>K277-H277*SQRT(J277)</f>
        <v>0.2335776572670788</v>
      </c>
      <c r="M277" s="3">
        <f>EXP(-E277*J277)*(D277*_xlfn.NORM.DIST(K277,0,1,TRUE)-G277*_xlfn.NORM.DIST(L277,0,1,TRUE))</f>
        <v>2375.34196447866</v>
      </c>
      <c r="N277" s="3">
        <f>EXP(-E277*J277)*(G277*_xlfn.NORM.DIST(-L277,0,1,TRUE)-D277*_xlfn.NORM.DIST(-K277,0,1,TRUE))</f>
        <v>463.73378293313829</v>
      </c>
      <c r="O277" s="3" t="b">
        <f>(M277-N277)=EXP(-E277*J277)*(D277-G277)</f>
        <v>1</v>
      </c>
    </row>
    <row r="278" spans="1:15" x14ac:dyDescent="0.3">
      <c r="A278" s="1">
        <v>45987</v>
      </c>
      <c r="B278" t="s">
        <v>16</v>
      </c>
      <c r="C278">
        <v>5655.58</v>
      </c>
      <c r="D278">
        <v>6510.3572800000002</v>
      </c>
      <c r="E278" s="2">
        <v>2.6078166925526388E-2</v>
      </c>
      <c r="F278" s="1">
        <v>50028</v>
      </c>
      <c r="G278">
        <v>4524.4639999999999</v>
      </c>
      <c r="H278">
        <v>0.22312000000000001</v>
      </c>
      <c r="J278" s="3">
        <f>(F278-A278)/365</f>
        <v>11.07123287671233</v>
      </c>
      <c r="K278" s="3">
        <f>(LN(D278/G278)+H278^2*J278/2)/(H278*SQRT(J278))</f>
        <v>0.86136098877037515</v>
      </c>
      <c r="L278" s="3">
        <f>K278-H278*SQRT(J278)</f>
        <v>0.1189634998634268</v>
      </c>
      <c r="M278" s="3">
        <f>EXP(-E278*J278)*(D278*_xlfn.NORM.DIST(K278,0,1,TRUE)-G278*_xlfn.NORM.DIST(L278,0,1,TRUE))</f>
        <v>2073.484008631181</v>
      </c>
      <c r="N278" s="3">
        <f>EXP(-E278*J278)*(G278*_xlfn.NORM.DIST(-L278,0,1,TRUE)-D278*_xlfn.NORM.DIST(-K278,0,1,TRUE))</f>
        <v>585.60537599498571</v>
      </c>
      <c r="O278" s="3" t="b">
        <f>(M278-N278)=EXP(-E278*J278)*(D278-G278)</f>
        <v>1</v>
      </c>
    </row>
    <row r="279" spans="1:15" x14ac:dyDescent="0.3">
      <c r="A279" s="1">
        <v>45987</v>
      </c>
      <c r="B279" t="s">
        <v>16</v>
      </c>
      <c r="C279">
        <v>5655.58</v>
      </c>
      <c r="D279">
        <v>6510.3572800000002</v>
      </c>
      <c r="E279" s="2">
        <v>2.6078166925526388E-2</v>
      </c>
      <c r="F279" s="1">
        <v>50028</v>
      </c>
      <c r="G279">
        <v>5090.0219999999999</v>
      </c>
      <c r="H279">
        <v>0.210456</v>
      </c>
      <c r="J279" s="3">
        <f>(F279-A279)/365</f>
        <v>11.07123287671233</v>
      </c>
      <c r="K279" s="3">
        <f>(LN(D279/G279)+H279^2*J279/2)/(H279*SQRT(J279))</f>
        <v>0.70158829222414421</v>
      </c>
      <c r="L279" s="3">
        <f>K279-H279*SQRT(J279)</f>
        <v>1.3283158643345727E-3</v>
      </c>
      <c r="M279" s="3">
        <f>EXP(-E279*J279)*(D279*_xlfn.NORM.DIST(K279,0,1,TRUE)-G279*_xlfn.NORM.DIST(L279,0,1,TRUE))</f>
        <v>1791.0991825479862</v>
      </c>
      <c r="N279" s="3">
        <f>EXP(-E279*J279)*(G279*_xlfn.NORM.DIST(-L279,0,1,TRUE)-D279*_xlfn.NORM.DIST(-K279,0,1,TRUE))</f>
        <v>726.95009882111685</v>
      </c>
      <c r="O279" s="3" t="b">
        <f>(M279-N279)=EXP(-E279*J279)*(D279-G279)</f>
        <v>1</v>
      </c>
    </row>
    <row r="280" spans="1:15" x14ac:dyDescent="0.3">
      <c r="A280" s="1">
        <v>45987</v>
      </c>
      <c r="B280" t="s">
        <v>16</v>
      </c>
      <c r="C280">
        <v>5655.58</v>
      </c>
      <c r="D280">
        <v>6510.3572800000002</v>
      </c>
      <c r="E280" s="2">
        <v>2.6078166925526388E-2</v>
      </c>
      <c r="F280" s="1">
        <v>50028</v>
      </c>
      <c r="G280">
        <v>5372.8009999999995</v>
      </c>
      <c r="H280">
        <v>0.204761</v>
      </c>
      <c r="J280" s="3">
        <f>(F280-A280)/365</f>
        <v>11.07123287671233</v>
      </c>
      <c r="K280" s="3">
        <f>(LN(D280/G280)+H280^2*J280/2)/(H280*SQRT(J280))</f>
        <v>0.62253110028631398</v>
      </c>
      <c r="L280" s="3">
        <f>K280-H280*SQRT(J280)</f>
        <v>-5.8779639342924295E-2</v>
      </c>
      <c r="M280" s="3">
        <f>EXP(-E280*J280)*(D280*_xlfn.NORM.DIST(K280,0,1,TRUE)-G280*_xlfn.NORM.DIST(L280,0,1,TRUE))</f>
        <v>1657.983848346897</v>
      </c>
      <c r="N280" s="3">
        <f>EXP(-E280*J280)*(G280*_xlfn.NORM.DIST(-L280,0,1,TRUE)-D280*_xlfn.NORM.DIST(-K280,0,1,TRUE))</f>
        <v>805.69953907468994</v>
      </c>
      <c r="O280" s="3" t="b">
        <f>(M280-N280)=EXP(-E280*J280)*(D280-G280)</f>
        <v>1</v>
      </c>
    </row>
    <row r="281" spans="1:15" x14ac:dyDescent="0.3">
      <c r="A281" s="1">
        <v>45987</v>
      </c>
      <c r="B281" t="s">
        <v>16</v>
      </c>
      <c r="C281">
        <v>5655.58</v>
      </c>
      <c r="D281">
        <v>6510.3572800000002</v>
      </c>
      <c r="E281" s="2">
        <v>2.6078166925526388E-2</v>
      </c>
      <c r="F281" s="1">
        <v>50028</v>
      </c>
      <c r="G281">
        <v>5655.58</v>
      </c>
      <c r="H281">
        <v>0.199464</v>
      </c>
      <c r="J281" s="3">
        <f>(F281-A281)/365</f>
        <v>11.07123287671233</v>
      </c>
      <c r="K281" s="3">
        <f>(LN(D281/G281)+H281^2*J281/2)/(H281*SQRT(J281))</f>
        <v>0.54391865396388073</v>
      </c>
      <c r="L281" s="3">
        <f>K281-H281*SQRT(J281)</f>
        <v>-0.11976713273088235</v>
      </c>
      <c r="M281" s="3">
        <f>EXP(-E281*J281)*(D281*_xlfn.NORM.DIST(K281,0,1,TRUE)-G281*_xlfn.NORM.DIST(L281,0,1,TRUE))</f>
        <v>1530.6592978974886</v>
      </c>
      <c r="N281" s="3">
        <f>EXP(-E281*J281)*(G281*_xlfn.NORM.DIST(-L281,0,1,TRUE)-D281*_xlfn.NORM.DIST(-K281,0,1,TRUE))</f>
        <v>890.23976307994519</v>
      </c>
      <c r="O281" s="3" t="b">
        <f>(M281-N281)=EXP(-E281*J281)*(D281-G281)</f>
        <v>0</v>
      </c>
    </row>
    <row r="282" spans="1:15" x14ac:dyDescent="0.3">
      <c r="A282" s="1">
        <v>45987</v>
      </c>
      <c r="B282" t="s">
        <v>16</v>
      </c>
      <c r="C282">
        <v>5655.58</v>
      </c>
      <c r="D282">
        <v>6510.3572800000002</v>
      </c>
      <c r="E282" s="2">
        <v>2.6078166925526388E-2</v>
      </c>
      <c r="F282" s="1">
        <v>50028</v>
      </c>
      <c r="G282">
        <v>5938.3590000000004</v>
      </c>
      <c r="H282">
        <v>0.194554</v>
      </c>
      <c r="J282" s="3">
        <f>(F282-A282)/365</f>
        <v>11.07123287671233</v>
      </c>
      <c r="K282" s="3">
        <f>(LN(D282/G282)+H282^2*J282/2)/(H282*SQRT(J282))</f>
        <v>0.46573298172782079</v>
      </c>
      <c r="L282" s="3">
        <f>K282-H282*SQRT(J282)</f>
        <v>-0.18161553502012845</v>
      </c>
      <c r="M282" s="3">
        <f>EXP(-E282*J282)*(D282*_xlfn.NORM.DIST(K282,0,1,TRUE)-G282*_xlfn.NORM.DIST(L282,0,1,TRUE))</f>
        <v>1409.4320617495891</v>
      </c>
      <c r="N282" s="3">
        <f>EXP(-E282*J282)*(G282*_xlfn.NORM.DIST(-L282,0,1,TRUE)-D282*_xlfn.NORM.DIST(-K282,0,1,TRUE))</f>
        <v>980.87730138670804</v>
      </c>
      <c r="O282" s="3" t="b">
        <f>(M282-N282)=EXP(-E282*J282)*(D282-G282)</f>
        <v>1</v>
      </c>
    </row>
    <row r="283" spans="1:15" x14ac:dyDescent="0.3">
      <c r="A283" s="1">
        <v>45987</v>
      </c>
      <c r="B283" t="s">
        <v>16</v>
      </c>
      <c r="C283">
        <v>5655.58</v>
      </c>
      <c r="D283">
        <v>6510.3572800000002</v>
      </c>
      <c r="E283" s="2">
        <v>2.6078166925526388E-2</v>
      </c>
      <c r="F283" s="1">
        <v>50028</v>
      </c>
      <c r="G283">
        <v>6221.1380000000008</v>
      </c>
      <c r="H283">
        <v>0.190023</v>
      </c>
      <c r="J283" s="3">
        <f>(F283-A283)/365</f>
        <v>11.07123287671233</v>
      </c>
      <c r="K283" s="3">
        <f>(LN(D283/G283)+H283^2*J283/2)/(H283*SQRT(J283))</f>
        <v>0.38800627765053941</v>
      </c>
      <c r="L283" s="3">
        <f>K283-H283*SQRT(J283)</f>
        <v>-0.2442660333684864</v>
      </c>
      <c r="M283" s="3">
        <f>EXP(-E283*J283)*(D283*_xlfn.NORM.DIST(K283,0,1,TRUE)-G283*_xlfn.NORM.DIST(L283,0,1,TRUE))</f>
        <v>1294.5833348281706</v>
      </c>
      <c r="N283" s="3">
        <f>EXP(-E283*J283)*(G283*_xlfn.NORM.DIST(-L283,0,1,TRUE)-D283*_xlfn.NORM.DIST(-K283,0,1,TRUE))</f>
        <v>1077.893348919953</v>
      </c>
      <c r="O283" s="3" t="b">
        <f>(M283-N283)=EXP(-E283*J283)*(D283-G283)</f>
        <v>1</v>
      </c>
    </row>
    <row r="284" spans="1:15" x14ac:dyDescent="0.3">
      <c r="A284" s="1">
        <v>45987</v>
      </c>
      <c r="B284" t="s">
        <v>16</v>
      </c>
      <c r="C284">
        <v>5655.58</v>
      </c>
      <c r="D284">
        <v>6510.3572800000002</v>
      </c>
      <c r="E284" s="2">
        <v>2.6078166925526388E-2</v>
      </c>
      <c r="F284" s="1">
        <v>50028</v>
      </c>
      <c r="G284">
        <v>6786.6959999999999</v>
      </c>
      <c r="H284">
        <v>0.18207400000000001</v>
      </c>
      <c r="J284" s="3">
        <f>(F284-A284)/365</f>
        <v>11.07123287671233</v>
      </c>
      <c r="K284" s="3">
        <f>(LN(D284/G284)+H284^2*J284/2)/(H284*SQRT(J284))</f>
        <v>0.23429442682082527</v>
      </c>
      <c r="L284" s="3">
        <f>K284-H284*SQRT(J284)</f>
        <v>-0.37152880908471309</v>
      </c>
      <c r="M284" s="3">
        <f>EXP(-E284*J284)*(D284*_xlfn.NORM.DIST(K284,0,1,TRUE)-G284*_xlfn.NORM.DIST(L284,0,1,TRUE))</f>
        <v>1084.9327654819108</v>
      </c>
      <c r="N284" s="3">
        <f>EXP(-E284*J284)*(G284*_xlfn.NORM.DIST(-L284,0,1,TRUE)-D284*_xlfn.NORM.DIST(-K284,0,1,TRUE))</f>
        <v>1291.9723284830179</v>
      </c>
      <c r="O284" s="3" t="b">
        <f>(M284-N284)=EXP(-E284*J284)*(D284-G284)</f>
        <v>0</v>
      </c>
    </row>
    <row r="285" spans="1:15" x14ac:dyDescent="0.3">
      <c r="A285" s="1">
        <v>45987</v>
      </c>
      <c r="B285" t="s">
        <v>16</v>
      </c>
      <c r="C285">
        <v>5655.58</v>
      </c>
      <c r="D285">
        <v>6510.3572800000002</v>
      </c>
      <c r="E285" s="2">
        <v>2.6078166925526388E-2</v>
      </c>
      <c r="F285" s="1">
        <v>50028</v>
      </c>
      <c r="G285">
        <v>7352.2539999999999</v>
      </c>
      <c r="H285">
        <v>0.17558199999999999</v>
      </c>
      <c r="J285" s="3">
        <f>(F285-A285)/365</f>
        <v>11.07123287671233</v>
      </c>
      <c r="K285" s="3">
        <f>(LN(D285/G285)+H285^2*J285/2)/(H285*SQRT(J285))</f>
        <v>8.3949471852908797E-2</v>
      </c>
      <c r="L285" s="3">
        <f>K285-H285*SQRT(J285)</f>
        <v>-0.50027263238364461</v>
      </c>
      <c r="M285" s="3">
        <f>EXP(-E285*J285)*(D285*_xlfn.NORM.DIST(K285,0,1,TRUE)-G285*_xlfn.NORM.DIST(L285,0,1,TRUE))</f>
        <v>902.97991338169777</v>
      </c>
      <c r="N285" s="3">
        <f>EXP(-E285*J285)*(G285*_xlfn.NORM.DIST(-L285,0,1,TRUE)-D285*_xlfn.NORM.DIST(-K285,0,1,TRUE))</f>
        <v>1533.7490252921311</v>
      </c>
      <c r="O285" s="3" t="b">
        <f>(M285-N285)=EXP(-E285*J285)*(D285-G285)</f>
        <v>1</v>
      </c>
    </row>
    <row r="286" spans="1:15" x14ac:dyDescent="0.3">
      <c r="A286" s="1">
        <v>45987</v>
      </c>
      <c r="B286" t="s">
        <v>16</v>
      </c>
      <c r="C286">
        <v>5655.58</v>
      </c>
      <c r="D286">
        <v>6510.3572800000002</v>
      </c>
      <c r="E286" s="2">
        <v>2.6078166925526388E-2</v>
      </c>
      <c r="F286" s="1">
        <v>50028</v>
      </c>
      <c r="G286">
        <v>7917.8119999999999</v>
      </c>
      <c r="H286">
        <v>0.17050599999999999</v>
      </c>
      <c r="J286" s="3">
        <f>(F286-A286)/365</f>
        <v>11.07123287671233</v>
      </c>
      <c r="K286" s="3">
        <f>(LN(D286/G286)+H286^2*J286/2)/(H286*SQRT(J286))</f>
        <v>-6.1317638382663714E-2</v>
      </c>
      <c r="L286" s="3">
        <f>K286-H286*SQRT(J286)</f>
        <v>-0.62865013319965957</v>
      </c>
      <c r="M286" s="3">
        <f>EXP(-E286*J286)*(D286*_xlfn.NORM.DIST(K286,0,1,TRUE)-G286*_xlfn.NORM.DIST(L286,0,1,TRUE))</f>
        <v>748.82728806198281</v>
      </c>
      <c r="N286" s="3">
        <f>EXP(-E286*J286)*(G286*_xlfn.NORM.DIST(-L286,0,1,TRUE)-D286*_xlfn.NORM.DIST(-K286,0,1,TRUE))</f>
        <v>1803.3259488817423</v>
      </c>
      <c r="O286" s="3" t="b">
        <f>(M286-N286)=EXP(-E286*J286)*(D286-G286)</f>
        <v>1</v>
      </c>
    </row>
    <row r="287" spans="1:15" x14ac:dyDescent="0.3">
      <c r="A287" s="1">
        <v>45987</v>
      </c>
      <c r="B287" t="s">
        <v>16</v>
      </c>
      <c r="C287">
        <v>5655.58</v>
      </c>
      <c r="D287">
        <v>6510.3572800000002</v>
      </c>
      <c r="E287" s="2">
        <v>2.6078166925526388E-2</v>
      </c>
      <c r="F287" s="1">
        <v>50028</v>
      </c>
      <c r="G287">
        <v>8483.3700000000008</v>
      </c>
      <c r="H287">
        <v>0.166769</v>
      </c>
      <c r="J287" s="3">
        <f>(F287-A287)/365</f>
        <v>11.07123287671233</v>
      </c>
      <c r="K287" s="3">
        <f>(LN(D287/G287)+H287^2*J287/2)/(H287*SQRT(J287))</f>
        <v>-0.19959955250005415</v>
      </c>
      <c r="L287" s="3">
        <f>K287-H287*SQRT(J287)</f>
        <v>-0.75449775448787626</v>
      </c>
      <c r="M287" s="3">
        <f>EXP(-E287*J287)*(D287*_xlfn.NORM.DIST(K287,0,1,TRUE)-G287*_xlfn.NORM.DIST(L287,0,1,TRUE))</f>
        <v>621.17871689378399</v>
      </c>
      <c r="N287" s="3">
        <f>EXP(-E287*J287)*(G287*_xlfn.NORM.DIST(-L287,0,1,TRUE)-D287*_xlfn.NORM.DIST(-K287,0,1,TRUE))</f>
        <v>2099.4069266228698</v>
      </c>
      <c r="O287" s="3" t="b">
        <f>(M287-N287)=EXP(-E287*J287)*(D287-G287)</f>
        <v>1</v>
      </c>
    </row>
    <row r="288" spans="1:15" x14ac:dyDescent="0.3">
      <c r="A288" s="1">
        <v>45987</v>
      </c>
      <c r="B288" t="s">
        <v>16</v>
      </c>
      <c r="C288">
        <v>5655.58</v>
      </c>
      <c r="D288">
        <v>6667.5125699999999</v>
      </c>
      <c r="E288" s="2">
        <v>2.6680041970399988E-2</v>
      </c>
      <c r="F288" s="1">
        <v>50392</v>
      </c>
      <c r="G288">
        <v>2827.79</v>
      </c>
      <c r="H288">
        <v>0.274038</v>
      </c>
      <c r="J288" s="3">
        <f>(F288-A288)/365</f>
        <v>12.068493150684931</v>
      </c>
      <c r="K288" s="3">
        <f>(LN(D288/G288)+H288^2*J288/2)/(H288*SQRT(J288))</f>
        <v>1.3769989857326812</v>
      </c>
      <c r="L288" s="3">
        <f>K288-H288*SQRT(J288)</f>
        <v>0.42499818557067714</v>
      </c>
      <c r="M288" s="3">
        <f>EXP(-E288*J288)*(D288*_xlfn.NORM.DIST(K288,0,1,TRUE)-G288*_xlfn.NORM.DIST(L288,0,1,TRUE))</f>
        <v>3062.9284759825778</v>
      </c>
      <c r="N288" s="3">
        <f>EXP(-E288*J288)*(G288*_xlfn.NORM.DIST(-L288,0,1,TRUE)-D288*_xlfn.NORM.DIST(-K288,0,1,TRUE))</f>
        <v>280.25481850485113</v>
      </c>
      <c r="O288" s="3" t="b">
        <f>(M288-N288)=EXP(-E288*J288)*(D288-G288)</f>
        <v>1</v>
      </c>
    </row>
    <row r="289" spans="1:15" x14ac:dyDescent="0.3">
      <c r="A289" s="1">
        <v>45987</v>
      </c>
      <c r="B289" t="s">
        <v>16</v>
      </c>
      <c r="C289">
        <v>5655.58</v>
      </c>
      <c r="D289">
        <v>6667.5125699999999</v>
      </c>
      <c r="E289" s="2">
        <v>2.6680041970399988E-2</v>
      </c>
      <c r="F289" s="1">
        <v>50392</v>
      </c>
      <c r="G289">
        <v>3393.348</v>
      </c>
      <c r="H289">
        <v>0.255077</v>
      </c>
      <c r="J289" s="3">
        <f>(F289-A289)/365</f>
        <v>12.068493150684931</v>
      </c>
      <c r="K289" s="3">
        <f>(LN(D289/G289)+H289^2*J289/2)/(H289*SQRT(J289))</f>
        <v>1.2052890157782377</v>
      </c>
      <c r="L289" s="3">
        <f>K289-H289*SQRT(J289)</f>
        <v>0.31915823062098392</v>
      </c>
      <c r="M289" s="3">
        <f>EXP(-E289*J289)*(D289*_xlfn.NORM.DIST(K289,0,1,TRUE)-G289*_xlfn.NORM.DIST(L289,0,1,TRUE))</f>
        <v>2743.4507833876205</v>
      </c>
      <c r="N289" s="3">
        <f>EXP(-E289*J289)*(G289*_xlfn.NORM.DIST(-L289,0,1,TRUE)-D289*_xlfn.NORM.DIST(-K289,0,1,TRUE))</f>
        <v>370.64094280950678</v>
      </c>
      <c r="O289" s="3" t="b">
        <f>(M289-N289)=EXP(-E289*J289)*(D289-G289)</f>
        <v>1</v>
      </c>
    </row>
    <row r="290" spans="1:15" x14ac:dyDescent="0.3">
      <c r="A290" s="1">
        <v>45987</v>
      </c>
      <c r="B290" t="s">
        <v>16</v>
      </c>
      <c r="C290">
        <v>5655.58</v>
      </c>
      <c r="D290">
        <v>6667.5125699999999</v>
      </c>
      <c r="E290" s="2">
        <v>2.6680041970399988E-2</v>
      </c>
      <c r="F290" s="1">
        <v>50392</v>
      </c>
      <c r="G290">
        <v>3958.9059999999999</v>
      </c>
      <c r="H290">
        <v>0.238956</v>
      </c>
      <c r="J290" s="3">
        <f>(F290-A290)/365</f>
        <v>12.068493150684931</v>
      </c>
      <c r="K290" s="3">
        <f>(LN(D290/G290)+H290^2*J290/2)/(H290*SQRT(J290))</f>
        <v>1.0430146070534165</v>
      </c>
      <c r="L290" s="3">
        <f>K290-H290*SQRT(J290)</f>
        <v>0.21288775164098528</v>
      </c>
      <c r="M290" s="3">
        <f>EXP(-E290*J290)*(D290*_xlfn.NORM.DIST(K290,0,1,TRUE)-G290*_xlfn.NORM.DIST(L290,0,1,TRUE))</f>
        <v>2438.2199151180453</v>
      </c>
      <c r="N290" s="3">
        <f>EXP(-E290*J290)*(G290*_xlfn.NORM.DIST(-L290,0,1,TRUE)-D290*_xlfn.NORM.DIST(-K290,0,1,TRUE))</f>
        <v>475.27389143954281</v>
      </c>
      <c r="O290" s="3" t="b">
        <f>(M290-N290)=EXP(-E290*J290)*(D290-G290)</f>
        <v>1</v>
      </c>
    </row>
    <row r="291" spans="1:15" x14ac:dyDescent="0.3">
      <c r="A291" s="1">
        <v>45987</v>
      </c>
      <c r="B291" t="s">
        <v>16</v>
      </c>
      <c r="C291">
        <v>5655.58</v>
      </c>
      <c r="D291">
        <v>6667.5125699999999</v>
      </c>
      <c r="E291" s="2">
        <v>2.6680041970399988E-2</v>
      </c>
      <c r="F291" s="1">
        <v>50392</v>
      </c>
      <c r="G291">
        <v>4524.4639999999999</v>
      </c>
      <c r="H291">
        <v>0.225047</v>
      </c>
      <c r="J291" s="3">
        <f>(F291-A291)/365</f>
        <v>12.068493150684931</v>
      </c>
      <c r="K291" s="3">
        <f>(LN(D291/G291)+H291^2*J291/2)/(H291*SQRT(J291))</f>
        <v>0.88686696399497078</v>
      </c>
      <c r="L291" s="3">
        <f>K291-H291*SQRT(J291)</f>
        <v>0.10505960854040419</v>
      </c>
      <c r="M291" s="3">
        <f>EXP(-E291*J291)*(D291*_xlfn.NORM.DIST(K291,0,1,TRUE)-G291*_xlfn.NORM.DIST(L291,0,1,TRUE))</f>
        <v>2148.9994903666834</v>
      </c>
      <c r="N291" s="3">
        <f>EXP(-E291*J291)*(G291*_xlfn.NORM.DIST(-L291,0,1,TRUE)-D291*_xlfn.NORM.DIST(-K291,0,1,TRUE))</f>
        <v>595.91728358779278</v>
      </c>
      <c r="O291" s="3" t="b">
        <f>(M291-N291)=EXP(-E291*J291)*(D291-G291)</f>
        <v>1</v>
      </c>
    </row>
    <row r="292" spans="1:15" x14ac:dyDescent="0.3">
      <c r="A292" s="1">
        <v>45987</v>
      </c>
      <c r="B292" t="s">
        <v>16</v>
      </c>
      <c r="C292">
        <v>5655.58</v>
      </c>
      <c r="D292">
        <v>6667.5125699999999</v>
      </c>
      <c r="E292" s="2">
        <v>2.6680041970399988E-2</v>
      </c>
      <c r="F292" s="1">
        <v>50392</v>
      </c>
      <c r="G292">
        <v>5090.0219999999999</v>
      </c>
      <c r="H292">
        <v>0.21297199999999999</v>
      </c>
      <c r="J292" s="3">
        <f>(F292-A292)/365</f>
        <v>12.068493150684931</v>
      </c>
      <c r="K292" s="3">
        <f>(LN(D292/G292)+H292^2*J292/2)/(H292*SQRT(J292))</f>
        <v>0.73481620166146855</v>
      </c>
      <c r="L292" s="3">
        <f>K292-H292*SQRT(J292)</f>
        <v>-5.0429215699895336E-3</v>
      </c>
      <c r="M292" s="3">
        <f>EXP(-E292*J292)*(D292*_xlfn.NORM.DIST(K292,0,1,TRUE)-G292*_xlfn.NORM.DIST(L292,0,1,TRUE))</f>
        <v>1877.7457410888562</v>
      </c>
      <c r="N292" s="3">
        <f>EXP(-E292*J292)*(G292*_xlfn.NORM.DIST(-L292,0,1,TRUE)-D292*_xlfn.NORM.DIST(-K292,0,1,TRUE))</f>
        <v>734.52735120957834</v>
      </c>
      <c r="O292" s="3" t="b">
        <f>(M292-N292)=EXP(-E292*J292)*(D292-G292)</f>
        <v>1</v>
      </c>
    </row>
    <row r="293" spans="1:15" x14ac:dyDescent="0.3">
      <c r="A293" s="1">
        <v>45987</v>
      </c>
      <c r="B293" t="s">
        <v>16</v>
      </c>
      <c r="C293">
        <v>5655.58</v>
      </c>
      <c r="D293">
        <v>6667.5125699999999</v>
      </c>
      <c r="E293" s="2">
        <v>2.6680041970399988E-2</v>
      </c>
      <c r="F293" s="1">
        <v>50392</v>
      </c>
      <c r="G293">
        <v>5372.8009999999995</v>
      </c>
      <c r="H293">
        <v>0.20754800000000001</v>
      </c>
      <c r="J293" s="3">
        <f>(F293-A293)/365</f>
        <v>12.068493150684931</v>
      </c>
      <c r="K293" s="3">
        <f>(LN(D293/G293)+H293^2*J293/2)/(H293*SQRT(J293))</f>
        <v>0.65994311104116743</v>
      </c>
      <c r="L293" s="3">
        <f>K293-H293*SQRT(J293)</f>
        <v>-6.1073178933301886E-2</v>
      </c>
      <c r="M293" s="3">
        <f>EXP(-E293*J293)*(D293*_xlfn.NORM.DIST(K293,0,1,TRUE)-G293*_xlfn.NORM.DIST(L293,0,1,TRUE))</f>
        <v>1749.5059432275066</v>
      </c>
      <c r="N293" s="3">
        <f>EXP(-E293*J293)*(G293*_xlfn.NORM.DIST(-L293,0,1,TRUE)-D293*_xlfn.NORM.DIST(-K293,0,1,TRUE))</f>
        <v>811.21946179803422</v>
      </c>
      <c r="O293" s="3" t="b">
        <f>(M293-N293)=EXP(-E293*J293)*(D293-G293)</f>
        <v>1</v>
      </c>
    </row>
    <row r="294" spans="1:15" x14ac:dyDescent="0.3">
      <c r="A294" s="1">
        <v>45987</v>
      </c>
      <c r="B294" t="s">
        <v>16</v>
      </c>
      <c r="C294">
        <v>5655.58</v>
      </c>
      <c r="D294">
        <v>6667.5125699999999</v>
      </c>
      <c r="E294" s="2">
        <v>2.6680041970399988E-2</v>
      </c>
      <c r="F294" s="1">
        <v>50392</v>
      </c>
      <c r="G294">
        <v>5655.58</v>
      </c>
      <c r="H294">
        <v>0.20250399999999999</v>
      </c>
      <c r="J294" s="3">
        <f>(F294-A294)/365</f>
        <v>12.068493150684931</v>
      </c>
      <c r="K294" s="3">
        <f>(LN(D294/G294)+H294^2*J294/2)/(H294*SQRT(J294))</f>
        <v>0.58572787673715421</v>
      </c>
      <c r="L294" s="3">
        <f>K294-H294*SQRT(J294)</f>
        <v>-0.11776568997989401</v>
      </c>
      <c r="M294" s="3">
        <f>EXP(-E294*J294)*(D294*_xlfn.NORM.DIST(K294,0,1,TRUE)-G294*_xlfn.NORM.DIST(L294,0,1,TRUE))</f>
        <v>1626.5234631116989</v>
      </c>
      <c r="N294" s="3">
        <f>EXP(-E294*J294)*(G294*_xlfn.NORM.DIST(-L294,0,1,TRUE)-D294*_xlfn.NORM.DIST(-K294,0,1,TRUE))</f>
        <v>893.16889013203331</v>
      </c>
      <c r="O294" s="3" t="b">
        <f>(M294-N294)=EXP(-E294*J294)*(D294-G294)</f>
        <v>1</v>
      </c>
    </row>
    <row r="295" spans="1:15" x14ac:dyDescent="0.3">
      <c r="A295" s="1">
        <v>45987</v>
      </c>
      <c r="B295" t="s">
        <v>16</v>
      </c>
      <c r="C295">
        <v>5655.58</v>
      </c>
      <c r="D295">
        <v>6667.5125699999999</v>
      </c>
      <c r="E295" s="2">
        <v>2.6680041970399988E-2</v>
      </c>
      <c r="F295" s="1">
        <v>50392</v>
      </c>
      <c r="G295">
        <v>5938.3590000000004</v>
      </c>
      <c r="H295">
        <v>0.197828</v>
      </c>
      <c r="J295" s="3">
        <f>(F295-A295)/365</f>
        <v>12.068493150684931</v>
      </c>
      <c r="K295" s="3">
        <f>(LN(D295/G295)+H295^2*J295/2)/(H295*SQRT(J295))</f>
        <v>0.51214286276913279</v>
      </c>
      <c r="L295" s="3">
        <f>K295-H295*SQRT(J295)</f>
        <v>-0.17510640300586533</v>
      </c>
      <c r="M295" s="3">
        <f>EXP(-E295*J295)*(D295*_xlfn.NORM.DIST(K295,0,1,TRUE)-G295*_xlfn.NORM.DIST(L295,0,1,TRUE))</f>
        <v>1509.0572968750494</v>
      </c>
      <c r="N295" s="3">
        <f>EXP(-E295*J295)*(G295*_xlfn.NORM.DIST(-L295,0,1,TRUE)-D295*_xlfn.NORM.DIST(-K295,0,1,TRUE))</f>
        <v>980.63463234518986</v>
      </c>
      <c r="O295" s="3" t="b">
        <f>(M295-N295)=EXP(-E295*J295)*(D295-G295)</f>
        <v>1</v>
      </c>
    </row>
    <row r="296" spans="1:15" x14ac:dyDescent="0.3">
      <c r="A296" s="1">
        <v>45987</v>
      </c>
      <c r="B296" t="s">
        <v>16</v>
      </c>
      <c r="C296">
        <v>5655.58</v>
      </c>
      <c r="D296">
        <v>6667.5125699999999</v>
      </c>
      <c r="E296" s="2">
        <v>2.6680041970399988E-2</v>
      </c>
      <c r="F296" s="1">
        <v>50392</v>
      </c>
      <c r="G296">
        <v>6221.1380000000008</v>
      </c>
      <c r="H296">
        <v>0.19350899999999999</v>
      </c>
      <c r="J296" s="3">
        <f>(F296-A296)/365</f>
        <v>12.068493150684931</v>
      </c>
      <c r="K296" s="3">
        <f>(LN(D296/G296)+H296^2*J296/2)/(H296*SQRT(J296))</f>
        <v>0.43920107185937368</v>
      </c>
      <c r="L296" s="3">
        <f>K296-H296*SQRT(J296)</f>
        <v>-0.23304410157843142</v>
      </c>
      <c r="M296" s="3">
        <f>EXP(-E296*J296)*(D296*_xlfn.NORM.DIST(K296,0,1,TRUE)-G296*_xlfn.NORM.DIST(L296,0,1,TRUE))</f>
        <v>1397.335088032539</v>
      </c>
      <c r="N296" s="3">
        <f>EXP(-E296*J296)*(G296*_xlfn.NORM.DIST(-L296,0,1,TRUE)-D296*_xlfn.NORM.DIST(-K296,0,1,TRUE))</f>
        <v>1073.8443319524858</v>
      </c>
      <c r="O296" s="3" t="b">
        <f>(M296-N296)=EXP(-E296*J296)*(D296-G296)</f>
        <v>1</v>
      </c>
    </row>
    <row r="297" spans="1:15" x14ac:dyDescent="0.3">
      <c r="A297" s="1">
        <v>45987</v>
      </c>
      <c r="B297" t="s">
        <v>16</v>
      </c>
      <c r="C297">
        <v>5655.58</v>
      </c>
      <c r="D297">
        <v>6667.5125699999999</v>
      </c>
      <c r="E297" s="2">
        <v>2.6680041970399988E-2</v>
      </c>
      <c r="F297" s="1">
        <v>50392</v>
      </c>
      <c r="G297">
        <v>6786.6959999999999</v>
      </c>
      <c r="H297">
        <v>0.18590799999999999</v>
      </c>
      <c r="J297" s="3">
        <f>(F297-A297)/365</f>
        <v>12.068493150684931</v>
      </c>
      <c r="K297" s="3">
        <f>(LN(D297/G297)+H297^2*J297/2)/(H297*SQRT(J297))</f>
        <v>0.29548667560088793</v>
      </c>
      <c r="L297" s="3">
        <f>K297-H297*SQRT(J297)</f>
        <v>-0.35035282387187805</v>
      </c>
      <c r="M297" s="3">
        <f>EXP(-E297*J297)*(D297*_xlfn.NORM.DIST(K297,0,1,TRUE)-G297*_xlfn.NORM.DIST(L297,0,1,TRUE))</f>
        <v>1191.8718775871023</v>
      </c>
      <c r="N297" s="3">
        <f>EXP(-E297*J297)*(G297*_xlfn.NORM.DIST(-L297,0,1,TRUE)-D297*_xlfn.NORM.DIST(-K297,0,1,TRUE))</f>
        <v>1278.2449384066599</v>
      </c>
      <c r="O297" s="3" t="b">
        <f>(M297-N297)=EXP(-E297*J297)*(D297-G297)</f>
        <v>0</v>
      </c>
    </row>
    <row r="298" spans="1:15" x14ac:dyDescent="0.3">
      <c r="A298" s="1">
        <v>45987</v>
      </c>
      <c r="B298" t="s">
        <v>16</v>
      </c>
      <c r="C298">
        <v>5655.58</v>
      </c>
      <c r="D298">
        <v>6667.5125699999999</v>
      </c>
      <c r="E298" s="2">
        <v>2.6680041970399988E-2</v>
      </c>
      <c r="F298" s="1">
        <v>50392</v>
      </c>
      <c r="G298">
        <v>7352.2539999999999</v>
      </c>
      <c r="H298">
        <v>0.17965100000000001</v>
      </c>
      <c r="J298" s="3">
        <f>(F298-A298)/365</f>
        <v>12.068493150684931</v>
      </c>
      <c r="K298" s="3">
        <f>(LN(D298/G298)+H298^2*J298/2)/(H298*SQRT(J298))</f>
        <v>0.15541046053012419</v>
      </c>
      <c r="L298" s="3">
        <f>K298-H298*SQRT(J298)</f>
        <v>-0.46869238560765303</v>
      </c>
      <c r="M298" s="3">
        <f>EXP(-E298*J298)*(D298*_xlfn.NORM.DIST(K298,0,1,TRUE)-G298*_xlfn.NORM.DIST(L298,0,1,TRUE))</f>
        <v>1011.2366819831265</v>
      </c>
      <c r="N298" s="3">
        <f>EXP(-E298*J298)*(G298*_xlfn.NORM.DIST(-L298,0,1,TRUE)-D298*_xlfn.NORM.DIST(-K298,0,1,TRUE))</f>
        <v>1507.4735597022968</v>
      </c>
      <c r="O298" s="3" t="b">
        <f>(M298-N298)=EXP(-E298*J298)*(D298-G298)</f>
        <v>1</v>
      </c>
    </row>
    <row r="299" spans="1:15" x14ac:dyDescent="0.3">
      <c r="A299" s="1">
        <v>45987</v>
      </c>
      <c r="B299" t="s">
        <v>16</v>
      </c>
      <c r="C299">
        <v>5655.58</v>
      </c>
      <c r="D299">
        <v>6667.5125699999999</v>
      </c>
      <c r="E299" s="2">
        <v>2.6680041970399988E-2</v>
      </c>
      <c r="F299" s="1">
        <v>50392</v>
      </c>
      <c r="G299">
        <v>7917.8119999999999</v>
      </c>
      <c r="H299">
        <v>0.17468400000000001</v>
      </c>
      <c r="J299" s="3">
        <f>(F299-A299)/365</f>
        <v>12.068493150684931</v>
      </c>
      <c r="K299" s="3">
        <f>(LN(D299/G299)+H299^2*J299/2)/(H299*SQRT(J299))</f>
        <v>2.0209313141231817E-2</v>
      </c>
      <c r="L299" s="3">
        <f>K299-H299*SQRT(J299)</f>
        <v>-0.58663830571272091</v>
      </c>
      <c r="M299" s="3">
        <f>EXP(-E299*J299)*(D299*_xlfn.NORM.DIST(K299,0,1,TRUE)-G299*_xlfn.NORM.DIST(L299,0,1,TRUE))</f>
        <v>855.61045054709507</v>
      </c>
      <c r="N299" s="3">
        <f>EXP(-E299*J299)*(G299*_xlfn.NORM.DIST(-L299,0,1,TRUE)-D299*_xlfn.NORM.DIST(-K299,0,1,TRUE))</f>
        <v>1761.711145165878</v>
      </c>
      <c r="O299" s="3" t="b">
        <f>(M299-N299)=EXP(-E299*J299)*(D299-G299)</f>
        <v>1</v>
      </c>
    </row>
    <row r="300" spans="1:15" x14ac:dyDescent="0.3">
      <c r="A300" s="1">
        <v>45987</v>
      </c>
      <c r="B300" t="s">
        <v>16</v>
      </c>
      <c r="C300">
        <v>5655.58</v>
      </c>
      <c r="D300">
        <v>6667.5125699999999</v>
      </c>
      <c r="E300" s="2">
        <v>2.6680041970399988E-2</v>
      </c>
      <c r="F300" s="1">
        <v>50392</v>
      </c>
      <c r="G300">
        <v>8483.3700000000008</v>
      </c>
      <c r="H300">
        <v>0.170933</v>
      </c>
      <c r="J300" s="3">
        <f>(F300-A300)/365</f>
        <v>12.068493150684931</v>
      </c>
      <c r="K300" s="3">
        <f>(LN(D300/G300)+H300^2*J300/2)/(H300*SQRT(J300))</f>
        <v>-0.1087065200008286</v>
      </c>
      <c r="L300" s="3">
        <f>K300-H300*SQRT(J300)</f>
        <v>-0.70252326356957395</v>
      </c>
      <c r="M300" s="3">
        <f>EXP(-E300*J300)*(D300*_xlfn.NORM.DIST(K300,0,1,TRUE)-G300*_xlfn.NORM.DIST(L300,0,1,TRUE))</f>
        <v>724.11379607988999</v>
      </c>
      <c r="N300" s="3">
        <f>EXP(-E300*J300)*(G300*_xlfn.NORM.DIST(-L300,0,1,TRUE)-D300*_xlfn.NORM.DIST(-K300,0,1,TRUE))</f>
        <v>2040.0783075982849</v>
      </c>
      <c r="O300" s="3" t="b">
        <f>(M300-N300)=EXP(-E300*J300)*(D300-G300)</f>
        <v>0</v>
      </c>
    </row>
    <row r="301" spans="1:15" x14ac:dyDescent="0.3">
      <c r="A301" s="1">
        <v>45987</v>
      </c>
      <c r="B301" t="s">
        <v>16</v>
      </c>
      <c r="C301">
        <v>5655.58</v>
      </c>
      <c r="D301">
        <v>6847.7354400000004</v>
      </c>
      <c r="E301" s="2">
        <v>2.7224103735847896E-2</v>
      </c>
      <c r="F301" s="1">
        <v>50756</v>
      </c>
      <c r="G301">
        <v>2827.79</v>
      </c>
      <c r="H301">
        <v>0.275057</v>
      </c>
      <c r="J301" s="3">
        <f>(F301-A301)/365</f>
        <v>13.065753424657535</v>
      </c>
      <c r="K301" s="3">
        <f>(LN(D301/G301)+H301^2*J301/2)/(H301*SQRT(J301))</f>
        <v>1.3866674790698839</v>
      </c>
      <c r="L301" s="3">
        <f>K301-H301*SQRT(J301)</f>
        <v>0.39243045674561849</v>
      </c>
      <c r="M301" s="3">
        <f>EXP(-E301*J301)*(D301*_xlfn.NORM.DIST(K301,0,1,TRUE)-G301*_xlfn.NORM.DIST(L301,0,1,TRUE))</f>
        <v>3107.823850249214</v>
      </c>
      <c r="N301" s="3">
        <f>EXP(-E301*J301)*(G301*_xlfn.NORM.DIST(-L301,0,1,TRUE)-D301*_xlfn.NORM.DIST(-K301,0,1,TRUE))</f>
        <v>291.12690121485861</v>
      </c>
      <c r="O301" s="3" t="b">
        <f>(M301-N301)=EXP(-E301*J301)*(D301-G301)</f>
        <v>1</v>
      </c>
    </row>
    <row r="302" spans="1:15" x14ac:dyDescent="0.3">
      <c r="A302" s="1">
        <v>45987</v>
      </c>
      <c r="B302" t="s">
        <v>16</v>
      </c>
      <c r="C302">
        <v>5655.58</v>
      </c>
      <c r="D302">
        <v>6847.7354400000004</v>
      </c>
      <c r="E302" s="2">
        <v>2.7224103735847896E-2</v>
      </c>
      <c r="F302" s="1">
        <v>50756</v>
      </c>
      <c r="G302">
        <v>3393.348</v>
      </c>
      <c r="H302">
        <v>0.256494</v>
      </c>
      <c r="J302" s="3">
        <f>(F302-A302)/365</f>
        <v>13.065753424657535</v>
      </c>
      <c r="K302" s="3">
        <f>(LN(D302/G302)+H302^2*J302/2)/(H302*SQRT(J302))</f>
        <v>1.2208466911645202</v>
      </c>
      <c r="L302" s="3">
        <f>K302-H302*SQRT(J302)</f>
        <v>0.29370856777903953</v>
      </c>
      <c r="M302" s="3">
        <f>EXP(-E302*J302)*(D302*_xlfn.NORM.DIST(K302,0,1,TRUE)-G302*_xlfn.NORM.DIST(L302,0,1,TRUE))</f>
        <v>2801.6740013028789</v>
      </c>
      <c r="N302" s="3">
        <f>EXP(-E302*J302)*(G302*_xlfn.NORM.DIST(-L302,0,1,TRUE)-D302*_xlfn.NORM.DIST(-K302,0,1,TRUE))</f>
        <v>381.25245373316909</v>
      </c>
      <c r="O302" s="3" t="b">
        <f>(M302-N302)=EXP(-E302*J302)*(D302-G302)</f>
        <v>1</v>
      </c>
    </row>
    <row r="303" spans="1:15" x14ac:dyDescent="0.3">
      <c r="A303" s="1">
        <v>45987</v>
      </c>
      <c r="B303" t="s">
        <v>16</v>
      </c>
      <c r="C303">
        <v>5655.58</v>
      </c>
      <c r="D303">
        <v>6847.7354400000004</v>
      </c>
      <c r="E303" s="2">
        <v>2.7224103735847896E-2</v>
      </c>
      <c r="F303" s="1">
        <v>50756</v>
      </c>
      <c r="G303">
        <v>3958.9059999999999</v>
      </c>
      <c r="H303">
        <v>0.240733</v>
      </c>
      <c r="J303" s="3">
        <f>(F303-A303)/365</f>
        <v>13.065753424657535</v>
      </c>
      <c r="K303" s="3">
        <f>(LN(D303/G303)+H303^2*J303/2)/(H303*SQRT(J303))</f>
        <v>1.0647904227001914</v>
      </c>
      <c r="L303" s="3">
        <f>K303-H303*SQRT(J303)</f>
        <v>0.19462292616242871</v>
      </c>
      <c r="M303" s="3">
        <f>EXP(-E303*J303)*(D303*_xlfn.NORM.DIST(K303,0,1,TRUE)-G303*_xlfn.NORM.DIST(L303,0,1,TRUE))</f>
        <v>2508.6315772482062</v>
      </c>
      <c r="N303" s="3">
        <f>EXP(-E303*J303)*(G303*_xlfn.NORM.DIST(-L303,0,1,TRUE)-D303*_xlfn.NORM.DIST(-K303,0,1,TRUE))</f>
        <v>484.48543114314151</v>
      </c>
      <c r="O303" s="3" t="b">
        <f>(M303-N303)=EXP(-E303*J303)*(D303-G303)</f>
        <v>1</v>
      </c>
    </row>
    <row r="304" spans="1:15" x14ac:dyDescent="0.3">
      <c r="A304" s="1">
        <v>45987</v>
      </c>
      <c r="B304" t="s">
        <v>16</v>
      </c>
      <c r="C304">
        <v>5655.58</v>
      </c>
      <c r="D304">
        <v>6847.7354400000004</v>
      </c>
      <c r="E304" s="2">
        <v>2.7224103735847896E-2</v>
      </c>
      <c r="F304" s="1">
        <v>50756</v>
      </c>
      <c r="G304">
        <v>4524.4639999999999</v>
      </c>
      <c r="H304">
        <v>0.22715099999999999</v>
      </c>
      <c r="J304" s="3">
        <f>(F304-A304)/365</f>
        <v>13.065753424657535</v>
      </c>
      <c r="K304" s="3">
        <f>(LN(D304/G304)+H304^2*J304/2)/(H304*SQRT(J304))</f>
        <v>0.91526490790096326</v>
      </c>
      <c r="L304" s="3">
        <f>K304-H304*SQRT(J304)</f>
        <v>9.4191698137244484E-2</v>
      </c>
      <c r="M304" s="3">
        <f>EXP(-E304*J304)*(D304*_xlfn.NORM.DIST(K304,0,1,TRUE)-G304*_xlfn.NORM.DIST(L304,0,1,TRUE))</f>
        <v>2230.2419335530008</v>
      </c>
      <c r="N304" s="3">
        <f>EXP(-E304*J304)*(G304*_xlfn.NORM.DIST(-L304,0,1,TRUE)-D304*_xlfn.NORM.DIST(-K304,0,1,TRUE))</f>
        <v>602.37118891258297</v>
      </c>
      <c r="O304" s="3" t="b">
        <f>(M304-N304)=EXP(-E304*J304)*(D304-G304)</f>
        <v>1</v>
      </c>
    </row>
    <row r="305" spans="1:15" x14ac:dyDescent="0.3">
      <c r="A305" s="1">
        <v>45987</v>
      </c>
      <c r="B305" t="s">
        <v>16</v>
      </c>
      <c r="C305">
        <v>5655.58</v>
      </c>
      <c r="D305">
        <v>6847.7354400000004</v>
      </c>
      <c r="E305" s="2">
        <v>2.7224103735847896E-2</v>
      </c>
      <c r="F305" s="1">
        <v>50756</v>
      </c>
      <c r="G305">
        <v>5090.0219999999999</v>
      </c>
      <c r="H305">
        <v>0.215369</v>
      </c>
      <c r="J305" s="3">
        <f>(F305-A305)/365</f>
        <v>13.065753424657535</v>
      </c>
      <c r="K305" s="3">
        <f>(LN(D305/G305)+H305^2*J305/2)/(H305*SQRT(J305))</f>
        <v>0.7702849795400446</v>
      </c>
      <c r="L305" s="3">
        <f>K305-H305*SQRT(J305)</f>
        <v>-8.200328090572806E-3</v>
      </c>
      <c r="M305" s="3">
        <f>EXP(-E305*J305)*(D305*_xlfn.NORM.DIST(K305,0,1,TRUE)-G305*_xlfn.NORM.DIST(L305,0,1,TRUE))</f>
        <v>1968.2128467108496</v>
      </c>
      <c r="N305" s="3">
        <f>EXP(-E305*J305)*(G305*_xlfn.NORM.DIST(-L305,0,1,TRUE)-D305*_xlfn.NORM.DIST(-K305,0,1,TRUE))</f>
        <v>736.61750353507705</v>
      </c>
      <c r="O305" s="3" t="b">
        <f>(M305-N305)=EXP(-E305*J305)*(D305-G305)</f>
        <v>1</v>
      </c>
    </row>
    <row r="306" spans="1:15" x14ac:dyDescent="0.3">
      <c r="A306" s="1">
        <v>45987</v>
      </c>
      <c r="B306" t="s">
        <v>16</v>
      </c>
      <c r="C306">
        <v>5655.58</v>
      </c>
      <c r="D306">
        <v>6847.7354400000004</v>
      </c>
      <c r="E306" s="2">
        <v>2.7224103735847896E-2</v>
      </c>
      <c r="F306" s="1">
        <v>50756</v>
      </c>
      <c r="G306">
        <v>5372.8009999999995</v>
      </c>
      <c r="H306">
        <v>0.21007600000000001</v>
      </c>
      <c r="J306" s="3">
        <f>(F306-A306)/365</f>
        <v>13.065753424657535</v>
      </c>
      <c r="K306" s="3">
        <f>(LN(D306/G306)+H306^2*J306/2)/(H306*SQRT(J306))</f>
        <v>0.69911769033071203</v>
      </c>
      <c r="L306" s="3">
        <f>K306-H306*SQRT(J306)</f>
        <v>-6.0235231797400979E-2</v>
      </c>
      <c r="M306" s="3">
        <f>EXP(-E306*J306)*(D306*_xlfn.NORM.DIST(K306,0,1,TRUE)-G306*_xlfn.NORM.DIST(L306,0,1,TRUE))</f>
        <v>1843.894488965791</v>
      </c>
      <c r="N306" s="3">
        <f>EXP(-E306*J306)*(G306*_xlfn.NORM.DIST(-L306,0,1,TRUE)-D306*_xlfn.NORM.DIST(-K306,0,1,TRUE))</f>
        <v>810.43684652234026</v>
      </c>
      <c r="O306" s="3" t="b">
        <f>(M306-N306)=EXP(-E306*J306)*(D306-G306)</f>
        <v>1</v>
      </c>
    </row>
    <row r="307" spans="1:15" x14ac:dyDescent="0.3">
      <c r="A307" s="1">
        <v>45987</v>
      </c>
      <c r="B307" t="s">
        <v>16</v>
      </c>
      <c r="C307">
        <v>5655.58</v>
      </c>
      <c r="D307">
        <v>6847.7354400000004</v>
      </c>
      <c r="E307" s="2">
        <v>2.7224103735847896E-2</v>
      </c>
      <c r="F307" s="1">
        <v>50756</v>
      </c>
      <c r="G307">
        <v>5655.58</v>
      </c>
      <c r="H307">
        <v>0.205154</v>
      </c>
      <c r="J307" s="3">
        <f>(F307-A307)/365</f>
        <v>13.065753424657535</v>
      </c>
      <c r="K307" s="3">
        <f>(LN(D307/G307)+H307^2*J307/2)/(H307*SQRT(J307))</f>
        <v>0.62871666623124656</v>
      </c>
      <c r="L307" s="3">
        <f>K307-H307*SQRT(J307)</f>
        <v>-0.11284490856202301</v>
      </c>
      <c r="M307" s="3">
        <f>EXP(-E307*J307)*(D307*_xlfn.NORM.DIST(K307,0,1,TRUE)-G307*_xlfn.NORM.DIST(L307,0,1,TRUE))</f>
        <v>1724.3437080142612</v>
      </c>
      <c r="N307" s="3">
        <f>EXP(-E307*J307)*(G307*_xlfn.NORM.DIST(-L307,0,1,TRUE)-D307*_xlfn.NORM.DIST(-K307,0,1,TRUE))</f>
        <v>889.02376630313427</v>
      </c>
      <c r="O307" s="3" t="b">
        <f>(M307-N307)=EXP(-E307*J307)*(D307-G307)</f>
        <v>1</v>
      </c>
    </row>
    <row r="308" spans="1:15" x14ac:dyDescent="0.3">
      <c r="A308" s="1">
        <v>45987</v>
      </c>
      <c r="B308" t="s">
        <v>16</v>
      </c>
      <c r="C308">
        <v>5655.58</v>
      </c>
      <c r="D308">
        <v>6847.7354400000004</v>
      </c>
      <c r="E308" s="2">
        <v>2.7224103735847896E-2</v>
      </c>
      <c r="F308" s="1">
        <v>50756</v>
      </c>
      <c r="G308">
        <v>5938.3590000000004</v>
      </c>
      <c r="H308">
        <v>0.20058899999999999</v>
      </c>
      <c r="J308" s="3">
        <f>(F308-A308)/365</f>
        <v>13.065753424657535</v>
      </c>
      <c r="K308" s="3">
        <f>(LN(D308/G308)+H308^2*J308/2)/(H308*SQRT(J308))</f>
        <v>0.5590451600878471</v>
      </c>
      <c r="L308" s="3">
        <f>K308-H308*SQRT(J308)</f>
        <v>-0.16601550032436585</v>
      </c>
      <c r="M308" s="3">
        <f>EXP(-E308*J308)*(D308*_xlfn.NORM.DIST(K308,0,1,TRUE)-G308*_xlfn.NORM.DIST(L308,0,1,TRUE))</f>
        <v>1609.7864698782623</v>
      </c>
      <c r="N308" s="3">
        <f>EXP(-E308*J308)*(G308*_xlfn.NORM.DIST(-L308,0,1,TRUE)-D308*_xlfn.NORM.DIST(-K308,0,1,TRUE))</f>
        <v>972.6042288994588</v>
      </c>
      <c r="O308" s="3" t="b">
        <f>(M308-N308)=EXP(-E308*J308)*(D308-G308)</f>
        <v>1</v>
      </c>
    </row>
    <row r="309" spans="1:15" x14ac:dyDescent="0.3">
      <c r="A309" s="1">
        <v>45987</v>
      </c>
      <c r="B309" t="s">
        <v>16</v>
      </c>
      <c r="C309">
        <v>5655.58</v>
      </c>
      <c r="D309">
        <v>6847.7354400000004</v>
      </c>
      <c r="E309" s="2">
        <v>2.7224103735847896E-2</v>
      </c>
      <c r="F309" s="1">
        <v>50756</v>
      </c>
      <c r="G309">
        <v>6221.1380000000008</v>
      </c>
      <c r="H309">
        <v>0.19636700000000001</v>
      </c>
      <c r="J309" s="3">
        <f>(F309-A309)/365</f>
        <v>13.065753424657535</v>
      </c>
      <c r="K309" s="3">
        <f>(LN(D309/G309)+H309^2*J309/2)/(H309*SQRT(J309))</f>
        <v>0.49010014519246586</v>
      </c>
      <c r="L309" s="3">
        <f>K309-H309*SQRT(J309)</f>
        <v>-0.21969942857860353</v>
      </c>
      <c r="M309" s="3">
        <f>EXP(-E309*J309)*(D309*_xlfn.NORM.DIST(K309,0,1,TRUE)-G309*_xlfn.NORM.DIST(L309,0,1,TRUE))</f>
        <v>1500.4151156480871</v>
      </c>
      <c r="N309" s="3">
        <f>EXP(-E309*J309)*(G309*_xlfn.NORM.DIST(-L309,0,1,TRUE)-D309*_xlfn.NORM.DIST(-K309,0,1,TRUE))</f>
        <v>1061.3705754016069</v>
      </c>
      <c r="O309" s="3" t="b">
        <f>(M309-N309)=EXP(-E309*J309)*(D309-G309)</f>
        <v>0</v>
      </c>
    </row>
    <row r="310" spans="1:15" x14ac:dyDescent="0.3">
      <c r="A310" s="1">
        <v>45987</v>
      </c>
      <c r="B310" t="s">
        <v>16</v>
      </c>
      <c r="C310">
        <v>5655.58</v>
      </c>
      <c r="D310">
        <v>6847.7354400000004</v>
      </c>
      <c r="E310" s="2">
        <v>2.7224103735847896E-2</v>
      </c>
      <c r="F310" s="1">
        <v>50756</v>
      </c>
      <c r="G310">
        <v>6786.6959999999999</v>
      </c>
      <c r="H310">
        <v>0.188918</v>
      </c>
      <c r="J310" s="3">
        <f>(F310-A310)/365</f>
        <v>13.065753424657535</v>
      </c>
      <c r="K310" s="3">
        <f>(LN(D310/G310)+H310^2*J310/2)/(H310*SQRT(J310))</f>
        <v>0.35454889896590519</v>
      </c>
      <c r="L310" s="3">
        <f>K310-H310*SQRT(J310)</f>
        <v>-0.32832508636606444</v>
      </c>
      <c r="M310" s="3">
        <f>EXP(-E310*J310)*(D310*_xlfn.NORM.DIST(K310,0,1,TRUE)-G310*_xlfn.NORM.DIST(L310,0,1,TRUE))</f>
        <v>1297.9426814047088</v>
      </c>
      <c r="N310" s="3">
        <f>EXP(-E310*J310)*(G310*_xlfn.NORM.DIST(-L310,0,1,TRUE)-D310*_xlfn.NORM.DIST(-K310,0,1,TRUE))</f>
        <v>1255.1735426228729</v>
      </c>
      <c r="O310" s="3" t="b">
        <f>(M310-N310)=EXP(-E310*J310)*(D310-G310)</f>
        <v>0</v>
      </c>
    </row>
    <row r="311" spans="1:15" x14ac:dyDescent="0.3">
      <c r="A311" s="1">
        <v>45987</v>
      </c>
      <c r="B311" t="s">
        <v>16</v>
      </c>
      <c r="C311">
        <v>5655.58</v>
      </c>
      <c r="D311">
        <v>6847.7354400000004</v>
      </c>
      <c r="E311" s="2">
        <v>2.7224103735847896E-2</v>
      </c>
      <c r="F311" s="1">
        <v>50756</v>
      </c>
      <c r="G311">
        <v>7352.2539999999999</v>
      </c>
      <c r="H311">
        <v>0.18275</v>
      </c>
      <c r="J311" s="3">
        <f>(F311-A311)/365</f>
        <v>13.065753424657535</v>
      </c>
      <c r="K311" s="3">
        <f>(LN(D311/G311)+H311^2*J311/2)/(H311*SQRT(J311))</f>
        <v>0.2226732619022509</v>
      </c>
      <c r="L311" s="3">
        <f>K311-H311*SQRT(J311)</f>
        <v>-0.43790551206008965</v>
      </c>
      <c r="M311" s="3">
        <f>EXP(-E311*J311)*(D311*_xlfn.NORM.DIST(K311,0,1,TRUE)-G311*_xlfn.NORM.DIST(L311,0,1,TRUE))</f>
        <v>1118.0030536825109</v>
      </c>
      <c r="N311" s="3">
        <f>EXP(-E311*J311)*(G311*_xlfn.NORM.DIST(-L311,0,1,TRUE)-D311*_xlfn.NORM.DIST(-K311,0,1,TRUE))</f>
        <v>1471.5093163653212</v>
      </c>
      <c r="O311" s="3" t="b">
        <f>(M311-N311)=EXP(-E311*J311)*(D311-G311)</f>
        <v>1</v>
      </c>
    </row>
    <row r="312" spans="1:15" x14ac:dyDescent="0.3">
      <c r="A312" s="1">
        <v>45987</v>
      </c>
      <c r="B312" t="s">
        <v>16</v>
      </c>
      <c r="C312">
        <v>5655.58</v>
      </c>
      <c r="D312">
        <v>6847.7354400000004</v>
      </c>
      <c r="E312" s="2">
        <v>2.7224103735847896E-2</v>
      </c>
      <c r="F312" s="1">
        <v>50756</v>
      </c>
      <c r="G312">
        <v>7917.8119999999999</v>
      </c>
      <c r="H312">
        <v>0.17780299999999999</v>
      </c>
      <c r="J312" s="3">
        <f>(F312-A312)/365</f>
        <v>13.065753424657535</v>
      </c>
      <c r="K312" s="3">
        <f>(LN(D312/G312)+H312^2*J312/2)/(H312*SQRT(J312))</f>
        <v>9.5430427898170786E-2</v>
      </c>
      <c r="L312" s="3">
        <f>K312-H312*SQRT(J312)</f>
        <v>-0.54726663227597983</v>
      </c>
      <c r="M312" s="3">
        <f>EXP(-E312*J312)*(D312*_xlfn.NORM.DIST(K312,0,1,TRUE)-G312*_xlfn.NORM.DIST(L312,0,1,TRUE))</f>
        <v>960.91236332192807</v>
      </c>
      <c r="N312" s="3">
        <f>EXP(-E312*J312)*(G312*_xlfn.NORM.DIST(-L312,0,1,TRUE)-D312*_xlfn.NORM.DIST(-K312,0,1,TRUE))</f>
        <v>1710.6940274693836</v>
      </c>
      <c r="O312" s="3" t="b">
        <f>(M312-N312)=EXP(-E312*J312)*(D312-G312)</f>
        <v>1</v>
      </c>
    </row>
    <row r="313" spans="1:15" x14ac:dyDescent="0.3">
      <c r="A313" s="1">
        <v>45987</v>
      </c>
      <c r="B313" t="s">
        <v>16</v>
      </c>
      <c r="C313">
        <v>5655.58</v>
      </c>
      <c r="D313">
        <v>6847.7354400000004</v>
      </c>
      <c r="E313" s="2">
        <v>2.7224103735847896E-2</v>
      </c>
      <c r="F313" s="1">
        <v>50756</v>
      </c>
      <c r="G313">
        <v>8483.3700000000008</v>
      </c>
      <c r="H313">
        <v>0.174008</v>
      </c>
      <c r="J313" s="3">
        <f>(F313-A313)/365</f>
        <v>13.065753424657535</v>
      </c>
      <c r="K313" s="3">
        <f>(LN(D313/G313)+H313^2*J313/2)/(H313*SQRT(J313))</f>
        <v>-2.6045697945908747E-2</v>
      </c>
      <c r="L313" s="3">
        <f>K313-H313*SQRT(J313)</f>
        <v>-0.65502513050207256</v>
      </c>
      <c r="M313" s="3">
        <f>EXP(-E313*J313)*(D313*_xlfn.NORM.DIST(K313,0,1,TRUE)-G313*_xlfn.NORM.DIST(L313,0,1,TRUE))</f>
        <v>826.14747319659</v>
      </c>
      <c r="N313" s="3">
        <f>EXP(-E313*J313)*(G313*_xlfn.NORM.DIST(-L313,0,1,TRUE)-D313*_xlfn.NORM.DIST(-K313,0,1,TRUE))</f>
        <v>1972.2045388086924</v>
      </c>
      <c r="O313" s="3" t="b">
        <f>(M313-N313)=EXP(-E313*J313)*(D313-G313)</f>
        <v>1</v>
      </c>
    </row>
    <row r="314" spans="1:15" x14ac:dyDescent="0.3">
      <c r="A314" s="1">
        <v>45987</v>
      </c>
      <c r="B314" t="s">
        <v>16</v>
      </c>
      <c r="C314">
        <v>5655.58</v>
      </c>
      <c r="D314">
        <v>7049.9106400000001</v>
      </c>
      <c r="E314" s="2">
        <v>2.7700750810152306E-2</v>
      </c>
      <c r="F314" s="1">
        <v>51120</v>
      </c>
      <c r="G314">
        <v>2827.79</v>
      </c>
      <c r="H314">
        <v>0.27804800000000002</v>
      </c>
      <c r="J314" s="3">
        <f>(F314-A314)/365</f>
        <v>14.063013698630137</v>
      </c>
      <c r="K314" s="3">
        <f>(LN(D314/G314)+H314^2*J314/2)/(H314*SQRT(J314))</f>
        <v>1.3974599000591972</v>
      </c>
      <c r="L314" s="3">
        <f>K314-H314*SQRT(J314)</f>
        <v>0.35476085584955364</v>
      </c>
      <c r="M314" s="3">
        <f>EXP(-E314*J314)*(D314*_xlfn.NORM.DIST(K314,0,1,TRUE)-G314*_xlfn.NORM.DIST(L314,0,1,TRUE))</f>
        <v>3164.6323425853857</v>
      </c>
      <c r="N314" s="3">
        <f>EXP(-E314*J314)*(G314*_xlfn.NORM.DIST(-L314,0,1,TRUE)-D314*_xlfn.NORM.DIST(-K314,0,1,TRUE))</f>
        <v>304.74714006334028</v>
      </c>
      <c r="O314" s="3" t="b">
        <f>(M314-N314)=EXP(-E314*J314)*(D314-G314)</f>
        <v>1</v>
      </c>
    </row>
    <row r="315" spans="1:15" x14ac:dyDescent="0.3">
      <c r="A315" s="1">
        <v>45987</v>
      </c>
      <c r="B315" t="s">
        <v>16</v>
      </c>
      <c r="C315">
        <v>5655.58</v>
      </c>
      <c r="D315">
        <v>7049.9106400000001</v>
      </c>
      <c r="E315" s="2">
        <v>2.7700750810152306E-2</v>
      </c>
      <c r="F315" s="1">
        <v>51120</v>
      </c>
      <c r="G315">
        <v>3393.348</v>
      </c>
      <c r="H315">
        <v>0.25955600000000001</v>
      </c>
      <c r="J315" s="3">
        <f>(F315-A315)/365</f>
        <v>14.063013698630137</v>
      </c>
      <c r="K315" s="3">
        <f>(LN(D315/G315)+H315^2*J315/2)/(H315*SQRT(J315))</f>
        <v>1.2378920977765606</v>
      </c>
      <c r="L315" s="3">
        <f>K315-H315*SQRT(J315)</f>
        <v>0.26453932013069292</v>
      </c>
      <c r="M315" s="3">
        <f>EXP(-E315*J315)*(D315*_xlfn.NORM.DIST(K315,0,1,TRUE)-G315*_xlfn.NORM.DIST(L315,0,1,TRUE))</f>
        <v>2871.1285485721933</v>
      </c>
      <c r="N315" s="3">
        <f>EXP(-E315*J315)*(G315*_xlfn.NORM.DIST(-L315,0,1,TRUE)-D315*_xlfn.NORM.DIST(-K315,0,1,TRUE))</f>
        <v>394.32831525840902</v>
      </c>
      <c r="O315" s="3" t="b">
        <f>(M315-N315)=EXP(-E315*J315)*(D315-G315)</f>
        <v>1</v>
      </c>
    </row>
    <row r="316" spans="1:15" x14ac:dyDescent="0.3">
      <c r="A316" s="1">
        <v>45987</v>
      </c>
      <c r="B316" t="s">
        <v>16</v>
      </c>
      <c r="C316">
        <v>5655.58</v>
      </c>
      <c r="D316">
        <v>7049.9106400000001</v>
      </c>
      <c r="E316" s="2">
        <v>2.7700750810152306E-2</v>
      </c>
      <c r="F316" s="1">
        <v>51120</v>
      </c>
      <c r="G316">
        <v>3958.9059999999999</v>
      </c>
      <c r="H316">
        <v>0.24387400000000001</v>
      </c>
      <c r="J316" s="3">
        <f>(F316-A316)/365</f>
        <v>14.063013698630137</v>
      </c>
      <c r="K316" s="3">
        <f>(LN(D316/G316)+H316^2*J316/2)/(H316*SQRT(J316))</f>
        <v>1.0882391068193824</v>
      </c>
      <c r="L316" s="3">
        <f>K316-H316*SQRT(J316)</f>
        <v>0.17369490327329473</v>
      </c>
      <c r="M316" s="3">
        <f>EXP(-E316*J316)*(D316*_xlfn.NORM.DIST(K316,0,1,TRUE)-G316*_xlfn.NORM.DIST(L316,0,1,TRUE))</f>
        <v>2589.4620277692111</v>
      </c>
      <c r="N316" s="3">
        <f>EXP(-E316*J316)*(G316*_xlfn.NORM.DIST(-L316,0,1,TRUE)-D316*_xlfn.NORM.DIST(-K316,0,1,TRUE))</f>
        <v>495.74676366368755</v>
      </c>
      <c r="O316" s="3" t="b">
        <f>(M316-N316)=EXP(-E316*J316)*(D316-G316)</f>
        <v>1</v>
      </c>
    </row>
    <row r="317" spans="1:15" x14ac:dyDescent="0.3">
      <c r="A317" s="1">
        <v>45987</v>
      </c>
      <c r="B317" t="s">
        <v>16</v>
      </c>
      <c r="C317">
        <v>5655.58</v>
      </c>
      <c r="D317">
        <v>7049.9106400000001</v>
      </c>
      <c r="E317" s="2">
        <v>2.7700750810152306E-2</v>
      </c>
      <c r="F317" s="1">
        <v>51120</v>
      </c>
      <c r="G317">
        <v>4524.4639999999999</v>
      </c>
      <c r="H317">
        <v>0.230374</v>
      </c>
      <c r="J317" s="3">
        <f>(F317-A317)/365</f>
        <v>14.063013698630137</v>
      </c>
      <c r="K317" s="3">
        <f>(LN(D317/G317)+H317^2*J317/2)/(H317*SQRT(J317))</f>
        <v>0.94533619756063603</v>
      </c>
      <c r="L317" s="3">
        <f>K317-H317*SQRT(J317)</f>
        <v>8.1417918663638456E-2</v>
      </c>
      <c r="M317" s="3">
        <f>EXP(-E317*J317)*(D317*_xlfn.NORM.DIST(K317,0,1,TRUE)-G317*_xlfn.NORM.DIST(L317,0,1,TRUE))</f>
        <v>2321.019276545363</v>
      </c>
      <c r="N317" s="3">
        <f>EXP(-E317*J317)*(G317*_xlfn.NORM.DIST(-L317,0,1,TRUE)-D317*_xlfn.NORM.DIST(-K317,0,1,TRUE))</f>
        <v>610.38898164810007</v>
      </c>
      <c r="O317" s="3" t="b">
        <f>(M317-N317)=EXP(-E317*J317)*(D317-G317)</f>
        <v>1</v>
      </c>
    </row>
    <row r="318" spans="1:15" x14ac:dyDescent="0.3">
      <c r="A318" s="1">
        <v>45987</v>
      </c>
      <c r="B318" t="s">
        <v>16</v>
      </c>
      <c r="C318">
        <v>5655.58</v>
      </c>
      <c r="D318">
        <v>7049.9106400000001</v>
      </c>
      <c r="E318" s="2">
        <v>2.7700750810152306E-2</v>
      </c>
      <c r="F318" s="1">
        <v>51120</v>
      </c>
      <c r="G318">
        <v>5090.0219999999999</v>
      </c>
      <c r="H318">
        <v>0.21867400000000001</v>
      </c>
      <c r="J318" s="3">
        <f>(F318-A318)/365</f>
        <v>14.063013698630137</v>
      </c>
      <c r="K318" s="3">
        <f>(LN(D318/G318)+H318^2*J318/2)/(H318*SQRT(J318))</f>
        <v>0.80723577061978258</v>
      </c>
      <c r="L318" s="3">
        <f>K318-H318*SQRT(J318)</f>
        <v>-1.2806706914670341E-2</v>
      </c>
      <c r="M318" s="3">
        <f>EXP(-E318*J318)*(D318*_xlfn.NORM.DIST(K318,0,1,TRUE)-G318*_xlfn.NORM.DIST(L318,0,1,TRUE))</f>
        <v>2067.3478175519613</v>
      </c>
      <c r="N318" s="3">
        <f>EXP(-E318*J318)*(G318*_xlfn.NORM.DIST(-L318,0,1,TRUE)-D318*_xlfn.NORM.DIST(-K318,0,1,TRUE))</f>
        <v>739.80249186295919</v>
      </c>
      <c r="O318" s="3" t="b">
        <f>(M318-N318)=EXP(-E318*J318)*(D318-G318)</f>
        <v>1</v>
      </c>
    </row>
    <row r="319" spans="1:15" x14ac:dyDescent="0.3">
      <c r="A319" s="1">
        <v>45987</v>
      </c>
      <c r="B319" t="s">
        <v>16</v>
      </c>
      <c r="C319">
        <v>5655.58</v>
      </c>
      <c r="D319">
        <v>7049.9106400000001</v>
      </c>
      <c r="E319" s="2">
        <v>2.7700750810152306E-2</v>
      </c>
      <c r="F319" s="1">
        <v>51120</v>
      </c>
      <c r="G319">
        <v>5372.8009999999995</v>
      </c>
      <c r="H319">
        <v>0.213421</v>
      </c>
      <c r="J319" s="3">
        <f>(F319-A319)/365</f>
        <v>14.063013698630137</v>
      </c>
      <c r="K319" s="3">
        <f>(LN(D319/G319)+H319^2*J319/2)/(H319*SQRT(J319))</f>
        <v>0.7396079539675503</v>
      </c>
      <c r="L319" s="3">
        <f>K319-H319*SQRT(J319)</f>
        <v>-6.0735413775667824E-2</v>
      </c>
      <c r="M319" s="3">
        <f>EXP(-E319*J319)*(D319*_xlfn.NORM.DIST(K319,0,1,TRUE)-G319*_xlfn.NORM.DIST(L319,0,1,TRUE))</f>
        <v>1946.5643914456348</v>
      </c>
      <c r="N319" s="3">
        <f>EXP(-E319*J319)*(G319*_xlfn.NORM.DIST(-L319,0,1,TRUE)-D319*_xlfn.NORM.DIST(-K319,0,1,TRUE))</f>
        <v>810.56155036076348</v>
      </c>
      <c r="O319" s="3" t="b">
        <f>(M319-N319)=EXP(-E319*J319)*(D319-G319)</f>
        <v>1</v>
      </c>
    </row>
    <row r="320" spans="1:15" x14ac:dyDescent="0.3">
      <c r="A320" s="1">
        <v>45987</v>
      </c>
      <c r="B320" t="s">
        <v>16</v>
      </c>
      <c r="C320">
        <v>5655.58</v>
      </c>
      <c r="D320">
        <v>7049.9106400000001</v>
      </c>
      <c r="E320" s="2">
        <v>2.7700750810152306E-2</v>
      </c>
      <c r="F320" s="1">
        <v>51120</v>
      </c>
      <c r="G320">
        <v>5655.58</v>
      </c>
      <c r="H320">
        <v>0.208537</v>
      </c>
      <c r="J320" s="3">
        <f>(F320-A320)/365</f>
        <v>14.063013698630137</v>
      </c>
      <c r="K320" s="3">
        <f>(LN(D320/G320)+H320^2*J320/2)/(H320*SQRT(J320))</f>
        <v>0.67280989066386754</v>
      </c>
      <c r="L320" s="3">
        <f>K320-H320*SQRT(J320)</f>
        <v>-0.10921814256185758</v>
      </c>
      <c r="M320" s="3">
        <f>EXP(-E320*J320)*(D320*_xlfn.NORM.DIST(K320,0,1,TRUE)-G320*_xlfn.NORM.DIST(L320,0,1,TRUE))</f>
        <v>1830.0926035271082</v>
      </c>
      <c r="N320" s="3">
        <f>EXP(-E320*J320)*(G320*_xlfn.NORM.DIST(-L320,0,1,TRUE)-D320*_xlfn.NORM.DIST(-K320,0,1,TRUE))</f>
        <v>885.6322470463673</v>
      </c>
      <c r="O320" s="3" t="b">
        <f>(M320-N320)=EXP(-E320*J320)*(D320-G320)</f>
        <v>1</v>
      </c>
    </row>
    <row r="321" spans="1:15" x14ac:dyDescent="0.3">
      <c r="A321" s="1">
        <v>45987</v>
      </c>
      <c r="B321" t="s">
        <v>16</v>
      </c>
      <c r="C321">
        <v>5655.58</v>
      </c>
      <c r="D321">
        <v>7049.9106400000001</v>
      </c>
      <c r="E321" s="2">
        <v>2.7700750810152306E-2</v>
      </c>
      <c r="F321" s="1">
        <v>51120</v>
      </c>
      <c r="G321">
        <v>5938.3590000000004</v>
      </c>
      <c r="H321">
        <v>0.20400699999999999</v>
      </c>
      <c r="J321" s="3">
        <f>(F321-A321)/365</f>
        <v>14.063013698630137</v>
      </c>
      <c r="K321" s="3">
        <f>(LN(D321/G321)+H321^2*J321/2)/(H321*SQRT(J321))</f>
        <v>0.60679865767339936</v>
      </c>
      <c r="L321" s="3">
        <f>K321-H321*SQRT(J321)</f>
        <v>-0.1582415652811866</v>
      </c>
      <c r="M321" s="3">
        <f>EXP(-E321*J321)*(D321*_xlfn.NORM.DIST(K321,0,1,TRUE)-G321*_xlfn.NORM.DIST(L321,0,1,TRUE))</f>
        <v>1718.1413623140065</v>
      </c>
      <c r="N321" s="3">
        <f>EXP(-E321*J321)*(G321*_xlfn.NORM.DIST(-L321,0,1,TRUE)-D321*_xlfn.NORM.DIST(-K321,0,1,TRUE))</f>
        <v>965.22349043739609</v>
      </c>
      <c r="O321" s="3" t="b">
        <f>(M321-N321)=EXP(-E321*J321)*(D321-G321)</f>
        <v>1</v>
      </c>
    </row>
    <row r="322" spans="1:15" x14ac:dyDescent="0.3">
      <c r="A322" s="1">
        <v>45987</v>
      </c>
      <c r="B322" t="s">
        <v>16</v>
      </c>
      <c r="C322">
        <v>5655.58</v>
      </c>
      <c r="D322">
        <v>7049.9106400000001</v>
      </c>
      <c r="E322" s="2">
        <v>2.7700750810152306E-2</v>
      </c>
      <c r="F322" s="1">
        <v>51120</v>
      </c>
      <c r="G322">
        <v>6221.1380000000008</v>
      </c>
      <c r="H322">
        <v>0.19981699999999999</v>
      </c>
      <c r="J322" s="3">
        <f>(F322-A322)/365</f>
        <v>14.063013698630137</v>
      </c>
      <c r="K322" s="3">
        <f>(LN(D322/G322)+H322^2*J322/2)/(H322*SQRT(J322))</f>
        <v>0.5415628429172169</v>
      </c>
      <c r="L322" s="3">
        <f>K322-H322*SQRT(J322)</f>
        <v>-0.20776459305368855</v>
      </c>
      <c r="M322" s="3">
        <f>EXP(-E322*J322)*(D322*_xlfn.NORM.DIST(K322,0,1,TRUE)-G322*_xlfn.NORM.DIST(L322,0,1,TRUE))</f>
        <v>1610.8956694216836</v>
      </c>
      <c r="N322" s="3">
        <f>EXP(-E322*J322)*(G322*_xlfn.NORM.DIST(-L322,0,1,TRUE)-D322*_xlfn.NORM.DIST(-K322,0,1,TRUE))</f>
        <v>1049.5202821492037</v>
      </c>
      <c r="O322" s="3" t="b">
        <f>(M322-N322)=EXP(-E322*J322)*(D322-G322)</f>
        <v>0</v>
      </c>
    </row>
    <row r="323" spans="1:15" x14ac:dyDescent="0.3">
      <c r="A323" s="1">
        <v>45987</v>
      </c>
      <c r="B323" t="s">
        <v>16</v>
      </c>
      <c r="C323">
        <v>5655.58</v>
      </c>
      <c r="D323">
        <v>7049.9106400000001</v>
      </c>
      <c r="E323" s="2">
        <v>2.7700750810152306E-2</v>
      </c>
      <c r="F323" s="1">
        <v>51120</v>
      </c>
      <c r="G323">
        <v>6786.6959999999999</v>
      </c>
      <c r="H323">
        <v>0.19242200000000001</v>
      </c>
      <c r="J323" s="3">
        <f>(F323-A323)/365</f>
        <v>14.063013698630137</v>
      </c>
      <c r="K323" s="3">
        <f>(LN(D323/G323)+H323^2*J323/2)/(H323*SQRT(J323))</f>
        <v>0.4135291925457853</v>
      </c>
      <c r="L323" s="3">
        <f>K323-H323*SQRT(J323)</f>
        <v>-0.30806648692289645</v>
      </c>
      <c r="M323" s="3">
        <f>EXP(-E323*J323)*(D323*_xlfn.NORM.DIST(K323,0,1,TRUE)-G323*_xlfn.NORM.DIST(L323,0,1,TRUE))</f>
        <v>1411.2261387531789</v>
      </c>
      <c r="N323" s="3">
        <f>EXP(-E323*J323)*(G323*_xlfn.NORM.DIST(-L323,0,1,TRUE)-D323*_xlfn.NORM.DIST(-K323,0,1,TRUE))</f>
        <v>1232.9357206889604</v>
      </c>
      <c r="O323" s="3" t="b">
        <f>(M323-N323)=EXP(-E323*J323)*(D323-G323)</f>
        <v>1</v>
      </c>
    </row>
    <row r="324" spans="1:15" x14ac:dyDescent="0.3">
      <c r="A324" s="1">
        <v>45987</v>
      </c>
      <c r="B324" t="s">
        <v>16</v>
      </c>
      <c r="C324">
        <v>5655.58</v>
      </c>
      <c r="D324">
        <v>7049.9106400000001</v>
      </c>
      <c r="E324" s="2">
        <v>2.7700750810152306E-2</v>
      </c>
      <c r="F324" s="1">
        <v>51120</v>
      </c>
      <c r="G324">
        <v>7352.2539999999999</v>
      </c>
      <c r="H324">
        <v>0.18628600000000001</v>
      </c>
      <c r="J324" s="3">
        <f>(F324-A324)/365</f>
        <v>14.063013698630137</v>
      </c>
      <c r="K324" s="3">
        <f>(LN(D324/G324)+H324^2*J324/2)/(H324*SQRT(J324))</f>
        <v>0.28918258467729119</v>
      </c>
      <c r="L324" s="3">
        <f>K324-H324*SQRT(J324)</f>
        <v>-0.409402674521256</v>
      </c>
      <c r="M324" s="3">
        <f>EXP(-E324*J324)*(D324*_xlfn.NORM.DIST(K324,0,1,TRUE)-G324*_xlfn.NORM.DIST(L324,0,1,TRUE))</f>
        <v>1232.162159792387</v>
      </c>
      <c r="N324" s="3">
        <f>EXP(-E324*J324)*(G324*_xlfn.NORM.DIST(-L324,0,1,TRUE)-D324*_xlfn.NORM.DIST(-K324,0,1,TRUE))</f>
        <v>1436.9567109364293</v>
      </c>
      <c r="O324" s="3" t="b">
        <f>(M324-N324)=EXP(-E324*J324)*(D324-G324)</f>
        <v>1</v>
      </c>
    </row>
    <row r="325" spans="1:15" x14ac:dyDescent="0.3">
      <c r="A325" s="1">
        <v>45987</v>
      </c>
      <c r="B325" t="s">
        <v>16</v>
      </c>
      <c r="C325">
        <v>5655.58</v>
      </c>
      <c r="D325">
        <v>7049.9106400000001</v>
      </c>
      <c r="E325" s="2">
        <v>2.7700750810152306E-2</v>
      </c>
      <c r="F325" s="1">
        <v>51120</v>
      </c>
      <c r="G325">
        <v>7917.8119999999999</v>
      </c>
      <c r="H325">
        <v>0.18135000000000001</v>
      </c>
      <c r="J325" s="3">
        <f>(F325-A325)/365</f>
        <v>14.063013698630137</v>
      </c>
      <c r="K325" s="3">
        <f>(LN(D325/G325)+H325^2*J325/2)/(H325*SQRT(J325))</f>
        <v>0.16932102938347113</v>
      </c>
      <c r="L325" s="3">
        <f>K325-H325*SQRT(J325)</f>
        <v>-0.51075389173597174</v>
      </c>
      <c r="M325" s="3">
        <f>EXP(-E325*J325)*(D325*_xlfn.NORM.DIST(K325,0,1,TRUE)-G325*_xlfn.NORM.DIST(L325,0,1,TRUE))</f>
        <v>1074.1944761938516</v>
      </c>
      <c r="N325" s="3">
        <f>EXP(-E325*J325)*(G325*_xlfn.NORM.DIST(-L325,0,1,TRUE)-D325*_xlfn.NORM.DIST(-K325,0,1,TRUE))</f>
        <v>1662.0739965461548</v>
      </c>
      <c r="O325" s="3" t="b">
        <f>(M325-N325)=EXP(-E325*J325)*(D325-G325)</f>
        <v>1</v>
      </c>
    </row>
    <row r="326" spans="1:15" x14ac:dyDescent="0.3">
      <c r="A326" s="1">
        <v>45987</v>
      </c>
      <c r="B326" t="s">
        <v>16</v>
      </c>
      <c r="C326">
        <v>5655.58</v>
      </c>
      <c r="D326">
        <v>7049.9106400000001</v>
      </c>
      <c r="E326" s="2">
        <v>2.7700750810152306E-2</v>
      </c>
      <c r="F326" s="1">
        <v>51120</v>
      </c>
      <c r="G326">
        <v>8483.3700000000008</v>
      </c>
      <c r="H326">
        <v>0.17754400000000001</v>
      </c>
      <c r="J326" s="3">
        <f>(F326-A326)/365</f>
        <v>14.063013698630137</v>
      </c>
      <c r="K326" s="3">
        <f>(LN(D326/G326)+H326^2*J326/2)/(H326*SQRT(J326))</f>
        <v>5.490132901385858E-2</v>
      </c>
      <c r="L326" s="3">
        <f>K326-H326*SQRT(J326)</f>
        <v>-0.61090083142303342</v>
      </c>
      <c r="M326" s="3">
        <f>EXP(-E326*J326)*(D326*_xlfn.NORM.DIST(K326,0,1,TRUE)-G326*_xlfn.NORM.DIST(L326,0,1,TRUE))</f>
        <v>937.06423235475165</v>
      </c>
      <c r="N326" s="3">
        <f>EXP(-E326*J326)*(G326*_xlfn.NORM.DIST(-L326,0,1,TRUE)-D326*_xlfn.NORM.DIST(-K326,0,1,TRUE))</f>
        <v>1908.0287219153165</v>
      </c>
      <c r="O326" s="3" t="b">
        <f>(M326-N326)=EXP(-E326*J326)*(D326-G326)</f>
        <v>1</v>
      </c>
    </row>
    <row r="327" spans="1:15" x14ac:dyDescent="0.3">
      <c r="A327" s="1">
        <v>45987</v>
      </c>
      <c r="B327" t="s">
        <v>16</v>
      </c>
      <c r="C327">
        <v>5655.58</v>
      </c>
      <c r="D327">
        <v>8261.7337800000005</v>
      </c>
      <c r="E327" s="2">
        <v>2.913068266843763E-2</v>
      </c>
      <c r="F327" s="1">
        <v>52947</v>
      </c>
      <c r="G327">
        <v>2827.79</v>
      </c>
      <c r="H327">
        <v>0.28504299999999999</v>
      </c>
      <c r="J327" s="3">
        <f>(F327-A327)/365</f>
        <v>19.068493150684933</v>
      </c>
      <c r="K327" s="3">
        <f>(LN(D327/G327)+H327^2*J327/2)/(H327*SQRT(J327))</f>
        <v>1.4837112290486663</v>
      </c>
      <c r="L327" s="3">
        <f>K327-H327*SQRT(J327)</f>
        <v>0.23900011389416953</v>
      </c>
      <c r="M327" s="3">
        <f>EXP(-E327*J327)*(D327*_xlfn.NORM.DIST(K327,0,1,TRUE)-G327*_xlfn.NORM.DIST(L327,0,1,TRUE))</f>
        <v>3449.1989134504147</v>
      </c>
      <c r="N327" s="3">
        <f>EXP(-E327*J327)*(G327*_xlfn.NORM.DIST(-L327,0,1,TRUE)-D327*_xlfn.NORM.DIST(-K327,0,1,TRUE))</f>
        <v>331.21396896594126</v>
      </c>
      <c r="O327" s="3" t="b">
        <f>(M327-N327)=EXP(-E327*J327)*(D327-G327)</f>
        <v>1</v>
      </c>
    </row>
    <row r="328" spans="1:15" x14ac:dyDescent="0.3">
      <c r="A328" s="1">
        <v>45987</v>
      </c>
      <c r="B328" t="s">
        <v>16</v>
      </c>
      <c r="C328">
        <v>5655.58</v>
      </c>
      <c r="D328">
        <v>8261.7337800000005</v>
      </c>
      <c r="E328" s="2">
        <v>2.913068266843763E-2</v>
      </c>
      <c r="F328" s="1">
        <v>52947</v>
      </c>
      <c r="G328">
        <v>3393.348</v>
      </c>
      <c r="H328">
        <v>0.26799099999999998</v>
      </c>
      <c r="J328" s="3">
        <f>(F328-A328)/365</f>
        <v>19.068493150684933</v>
      </c>
      <c r="K328" s="3">
        <f>(LN(D328/G328)+H328^2*J328/2)/(H328*SQRT(J328))</f>
        <v>1.34549034162271</v>
      </c>
      <c r="L328" s="3">
        <f>K328-H328*SQRT(J328)</f>
        <v>0.17524102323436619</v>
      </c>
      <c r="M328" s="3">
        <f>EXP(-E328*J328)*(D328*_xlfn.NORM.DIST(K328,0,1,TRUE)-G328*_xlfn.NORM.DIST(L328,0,1,TRUE))</f>
        <v>3208.5697936251981</v>
      </c>
      <c r="N328" s="3">
        <f>EXP(-E328*J328)*(G328*_xlfn.NORM.DIST(-L328,0,1,TRUE)-D328*_xlfn.NORM.DIST(-K328,0,1,TRUE))</f>
        <v>415.10078096229961</v>
      </c>
      <c r="O328" s="3" t="b">
        <f>(M328-N328)=EXP(-E328*J328)*(D328-G328)</f>
        <v>1</v>
      </c>
    </row>
    <row r="329" spans="1:15" x14ac:dyDescent="0.3">
      <c r="A329" s="1">
        <v>45987</v>
      </c>
      <c r="B329" t="s">
        <v>16</v>
      </c>
      <c r="C329">
        <v>5655.58</v>
      </c>
      <c r="D329">
        <v>8261.7337800000005</v>
      </c>
      <c r="E329" s="2">
        <v>2.913068266843763E-2</v>
      </c>
      <c r="F329" s="1">
        <v>52947</v>
      </c>
      <c r="G329">
        <v>3958.9059999999999</v>
      </c>
      <c r="H329">
        <v>0.25354700000000002</v>
      </c>
      <c r="J329" s="3">
        <f>(F329-A329)/365</f>
        <v>19.068493150684933</v>
      </c>
      <c r="K329" s="3">
        <f>(LN(D329/G329)+H329^2*J329/2)/(H329*SQRT(J329))</f>
        <v>1.2180412951836326</v>
      </c>
      <c r="L329" s="3">
        <f>K329-H329*SQRT(J329)</f>
        <v>0.11086529326786132</v>
      </c>
      <c r="M329" s="3">
        <f>EXP(-E329*J329)*(D329*_xlfn.NORM.DIST(K329,0,1,TRUE)-G329*_xlfn.NORM.DIST(L329,0,1,TRUE))</f>
        <v>2975.4268708142936</v>
      </c>
      <c r="N329" s="3">
        <f>EXP(-E329*J329)*(G329*_xlfn.NORM.DIST(-L329,0,1,TRUE)-D329*_xlfn.NORM.DIST(-K329,0,1,TRUE))</f>
        <v>506.47378997296892</v>
      </c>
      <c r="O329" s="3" t="b">
        <f>(M329-N329)=EXP(-E329*J329)*(D329-G329)</f>
        <v>1</v>
      </c>
    </row>
    <row r="330" spans="1:15" x14ac:dyDescent="0.3">
      <c r="A330" s="1">
        <v>45987</v>
      </c>
      <c r="B330" t="s">
        <v>16</v>
      </c>
      <c r="C330">
        <v>5655.58</v>
      </c>
      <c r="D330">
        <v>8261.7337800000005</v>
      </c>
      <c r="E330" s="2">
        <v>2.913068266843763E-2</v>
      </c>
      <c r="F330" s="1">
        <v>52947</v>
      </c>
      <c r="G330">
        <v>4524.4639999999999</v>
      </c>
      <c r="H330">
        <v>0.24110400000000001</v>
      </c>
      <c r="J330" s="3">
        <f>(F330-A330)/365</f>
        <v>19.068493150684933</v>
      </c>
      <c r="K330" s="3">
        <f>(LN(D330/G330)+H330^2*J330/2)/(H330*SQRT(J330))</f>
        <v>1.0983353187031522</v>
      </c>
      <c r="L330" s="3">
        <f>K330-H330*SQRT(J330)</f>
        <v>4.549476935372132E-2</v>
      </c>
      <c r="M330" s="3">
        <f>EXP(-E330*J330)*(D330*_xlfn.NORM.DIST(K330,0,1,TRUE)-G330*_xlfn.NORM.DIST(L330,0,1,TRUE))</f>
        <v>2750.5434777228361</v>
      </c>
      <c r="N330" s="3">
        <f>EXP(-E330*J330)*(G330*_xlfn.NORM.DIST(-L330,0,1,TRUE)-D330*_xlfn.NORM.DIST(-K330,0,1,TRUE))</f>
        <v>606.10632870308632</v>
      </c>
      <c r="O330" s="3" t="b">
        <f>(M330-N330)=EXP(-E330*J330)*(D330-G330)</f>
        <v>1</v>
      </c>
    </row>
    <row r="331" spans="1:15" x14ac:dyDescent="0.3">
      <c r="A331" s="1">
        <v>45987</v>
      </c>
      <c r="B331" t="s">
        <v>16</v>
      </c>
      <c r="C331">
        <v>5655.58</v>
      </c>
      <c r="D331">
        <v>8261.7337800000005</v>
      </c>
      <c r="E331" s="2">
        <v>2.913068266843763E-2</v>
      </c>
      <c r="F331" s="1">
        <v>52947</v>
      </c>
      <c r="G331">
        <v>5090.0219999999999</v>
      </c>
      <c r="H331">
        <v>0.23027700000000001</v>
      </c>
      <c r="J331" s="3">
        <f>(F331-A331)/365</f>
        <v>19.068493150684933</v>
      </c>
      <c r="K331" s="3">
        <f>(LN(D331/G331)+H331^2*J331/2)/(H331*SQRT(J331))</f>
        <v>0.98445424189495068</v>
      </c>
      <c r="L331" s="3">
        <f>K331-H331*SQRT(J331)</f>
        <v>-2.1107520591523432E-2</v>
      </c>
      <c r="M331" s="3">
        <f>EXP(-E331*J331)*(D331*_xlfn.NORM.DIST(K331,0,1,TRUE)-G331*_xlfn.NORM.DIST(L331,0,1,TRUE))</f>
        <v>2534.7486170043326</v>
      </c>
      <c r="N331" s="3">
        <f>EXP(-E331*J331)*(G331*_xlfn.NORM.DIST(-L331,0,1,TRUE)-D331*_xlfn.NORM.DIST(-K331,0,1,TRUE))</f>
        <v>714.82739980615725</v>
      </c>
      <c r="O331" s="3" t="b">
        <f>(M331-N331)=EXP(-E331*J331)*(D331-G331)</f>
        <v>1</v>
      </c>
    </row>
    <row r="332" spans="1:15" x14ac:dyDescent="0.3">
      <c r="A332" s="1">
        <v>45987</v>
      </c>
      <c r="B332" t="s">
        <v>16</v>
      </c>
      <c r="C332">
        <v>5655.58</v>
      </c>
      <c r="D332">
        <v>8261.7337800000005</v>
      </c>
      <c r="E332" s="2">
        <v>2.913068266843763E-2</v>
      </c>
      <c r="F332" s="1">
        <v>52947</v>
      </c>
      <c r="G332">
        <v>5372.8009999999995</v>
      </c>
      <c r="H332">
        <v>0.225387</v>
      </c>
      <c r="J332" s="3">
        <f>(F332-A332)/365</f>
        <v>19.068493150684933</v>
      </c>
      <c r="K332" s="3">
        <f>(LN(D332/G332)+H332^2*J332/2)/(H332*SQRT(J332))</f>
        <v>0.92929320399463544</v>
      </c>
      <c r="L332" s="3">
        <f>K332-H332*SQRT(J332)</f>
        <v>-5.4915157941376136E-2</v>
      </c>
      <c r="M332" s="3">
        <f>EXP(-E332*J332)*(D332*_xlfn.NORM.DIST(K332,0,1,TRUE)-G332*_xlfn.NORM.DIST(L332,0,1,TRUE))</f>
        <v>2430.533493717825</v>
      </c>
      <c r="N332" s="3">
        <f>EXP(-E332*J332)*(G332*_xlfn.NORM.DIST(-L332,0,1,TRUE)-D332*_xlfn.NORM.DIST(-K332,0,1,TRUE))</f>
        <v>772.8702424304372</v>
      </c>
      <c r="O332" s="3" t="b">
        <f>(M332-N332)=EXP(-E332*J332)*(D332-G332)</f>
        <v>1</v>
      </c>
    </row>
    <row r="333" spans="1:15" x14ac:dyDescent="0.3">
      <c r="A333" s="1">
        <v>45987</v>
      </c>
      <c r="B333" t="s">
        <v>16</v>
      </c>
      <c r="C333">
        <v>5655.58</v>
      </c>
      <c r="D333">
        <v>8261.7337800000005</v>
      </c>
      <c r="E333" s="2">
        <v>2.913068266843763E-2</v>
      </c>
      <c r="F333" s="1">
        <v>52947</v>
      </c>
      <c r="G333">
        <v>5655.58</v>
      </c>
      <c r="H333">
        <v>0.22081500000000001</v>
      </c>
      <c r="J333" s="3">
        <f>(F333-A333)/365</f>
        <v>19.068493150684933</v>
      </c>
      <c r="K333" s="3">
        <f>(LN(D333/G333)+H333^2*J333/2)/(H333*SQRT(J333))</f>
        <v>0.87516749582056774</v>
      </c>
      <c r="L333" s="3">
        <f>K333-H333*SQRT(J333)</f>
        <v>-8.9076091613048303E-2</v>
      </c>
      <c r="M333" s="3">
        <f>EXP(-E333*J333)*(D333*_xlfn.NORM.DIST(K333,0,1,TRUE)-G333*_xlfn.NORM.DIST(L333,0,1,TRUE))</f>
        <v>2328.9314425081079</v>
      </c>
      <c r="N333" s="3">
        <f>EXP(-E333*J333)*(G333*_xlfn.NORM.DIST(-L333,0,1,TRUE)-D333*_xlfn.NORM.DIST(-K333,0,1,TRUE))</f>
        <v>833.52615713150794</v>
      </c>
      <c r="O333" s="3" t="b">
        <f>(M333-N333)=EXP(-E333*J333)*(D333-G333)</f>
        <v>1</v>
      </c>
    </row>
    <row r="334" spans="1:15" x14ac:dyDescent="0.3">
      <c r="A334" s="1">
        <v>45987</v>
      </c>
      <c r="B334" t="s">
        <v>16</v>
      </c>
      <c r="C334">
        <v>5655.58</v>
      </c>
      <c r="D334">
        <v>8261.7337800000005</v>
      </c>
      <c r="E334" s="2">
        <v>2.913068266843763E-2</v>
      </c>
      <c r="F334" s="1">
        <v>52947</v>
      </c>
      <c r="G334">
        <v>5938.3590000000004</v>
      </c>
      <c r="H334">
        <v>0.21654200000000001</v>
      </c>
      <c r="J334" s="3">
        <f>(F334-A334)/365</f>
        <v>19.068493150684933</v>
      </c>
      <c r="K334" s="3">
        <f>(LN(D334/G334)+H334^2*J334/2)/(H334*SQRT(J334))</f>
        <v>0.82199597535534907</v>
      </c>
      <c r="L334" s="3">
        <f>K334-H334*SQRT(J334)</f>
        <v>-0.12358849540094041</v>
      </c>
      <c r="M334" s="3">
        <f>EXP(-E334*J334)*(D334*_xlfn.NORM.DIST(K334,0,1,TRUE)-G334*_xlfn.NORM.DIST(L334,0,1,TRUE))</f>
        <v>2230.0571433665818</v>
      </c>
      <c r="N334" s="3">
        <f>EXP(-E334*J334)*(G334*_xlfn.NORM.DIST(-L334,0,1,TRUE)-D334*_xlfn.NORM.DIST(-K334,0,1,TRUE))</f>
        <v>896.90982390076954</v>
      </c>
      <c r="O334" s="3" t="b">
        <f>(M334-N334)=EXP(-E334*J334)*(D334-G334)</f>
        <v>1</v>
      </c>
    </row>
    <row r="335" spans="1:15" x14ac:dyDescent="0.3">
      <c r="A335" s="1">
        <v>45987</v>
      </c>
      <c r="B335" t="s">
        <v>16</v>
      </c>
      <c r="C335">
        <v>5655.58</v>
      </c>
      <c r="D335">
        <v>8261.7337800000005</v>
      </c>
      <c r="E335" s="2">
        <v>2.913068266843763E-2</v>
      </c>
      <c r="F335" s="1">
        <v>52947</v>
      </c>
      <c r="G335">
        <v>6221.1380000000008</v>
      </c>
      <c r="H335">
        <v>0.21255199999999999</v>
      </c>
      <c r="J335" s="3">
        <f>(F335-A335)/365</f>
        <v>19.068493150684933</v>
      </c>
      <c r="K335" s="3">
        <f>(LN(D335/G335)+H335^2*J335/2)/(H335*SQRT(J335))</f>
        <v>0.76971889767199797</v>
      </c>
      <c r="L335" s="3">
        <f>K335-H335*SQRT(J335)</f>
        <v>-0.15844224625477299</v>
      </c>
      <c r="M335" s="3">
        <f>EXP(-E335*J335)*(D335*_xlfn.NORM.DIST(K335,0,1,TRUE)-G335*_xlfn.NORM.DIST(L335,0,1,TRUE))</f>
        <v>2134.0225686001031</v>
      </c>
      <c r="N335" s="3">
        <f>EXP(-E335*J335)*(G335*_xlfn.NORM.DIST(-L335,0,1,TRUE)-D335*_xlfn.NORM.DIST(-K335,0,1,TRUE))</f>
        <v>963.13321504507769</v>
      </c>
      <c r="O335" s="3" t="b">
        <f>(M335-N335)=EXP(-E335*J335)*(D335-G335)</f>
        <v>1</v>
      </c>
    </row>
    <row r="336" spans="1:15" x14ac:dyDescent="0.3">
      <c r="A336" s="1">
        <v>45987</v>
      </c>
      <c r="B336" t="s">
        <v>16</v>
      </c>
      <c r="C336">
        <v>5655.58</v>
      </c>
      <c r="D336">
        <v>8261.7337800000005</v>
      </c>
      <c r="E336" s="2">
        <v>2.913068266843763E-2</v>
      </c>
      <c r="F336" s="1">
        <v>52947</v>
      </c>
      <c r="G336">
        <v>6786.6959999999999</v>
      </c>
      <c r="H336">
        <v>0.20537</v>
      </c>
      <c r="J336" s="3">
        <f>(F336-A336)/365</f>
        <v>19.068493150684933</v>
      </c>
      <c r="K336" s="3">
        <f>(LN(D336/G336)+H336^2*J336/2)/(H336*SQRT(J336))</f>
        <v>0.6677020155950758</v>
      </c>
      <c r="L336" s="3">
        <f>K336-H336*SQRT(J336)</f>
        <v>-0.22909714003856185</v>
      </c>
      <c r="M336" s="3">
        <f>EXP(-E336*J336)*(D336*_xlfn.NORM.DIST(K336,0,1,TRUE)-G336*_xlfn.NORM.DIST(L336,0,1,TRUE))</f>
        <v>1950.9057204996402</v>
      </c>
      <c r="N336" s="3">
        <f>EXP(-E336*J336)*(G336*_xlfn.NORM.DIST(-L336,0,1,TRUE)-D336*_xlfn.NORM.DIST(-K336,0,1,TRUE))</f>
        <v>1104.5322987661891</v>
      </c>
      <c r="O336" s="3" t="b">
        <f>(M336-N336)=EXP(-E336*J336)*(D336-G336)</f>
        <v>1</v>
      </c>
    </row>
    <row r="337" spans="1:15" x14ac:dyDescent="0.3">
      <c r="A337" s="1">
        <v>45987</v>
      </c>
      <c r="B337" t="s">
        <v>16</v>
      </c>
      <c r="C337">
        <v>5655.58</v>
      </c>
      <c r="D337">
        <v>8261.7337800000005</v>
      </c>
      <c r="E337" s="2">
        <v>2.913068266843763E-2</v>
      </c>
      <c r="F337" s="1">
        <v>52947</v>
      </c>
      <c r="G337">
        <v>7352.2539999999999</v>
      </c>
      <c r="H337">
        <v>0.199188</v>
      </c>
      <c r="J337" s="3">
        <f>(F337-A337)/365</f>
        <v>19.068493150684933</v>
      </c>
      <c r="K337" s="3">
        <f>(LN(D337/G337)+H337^2*J337/2)/(H337*SQRT(J337))</f>
        <v>0.5689868145806366</v>
      </c>
      <c r="L337" s="3">
        <f>K337-H337*SQRT(J337)</f>
        <v>-0.30081710133869455</v>
      </c>
      <c r="M337" s="3">
        <f>EXP(-E337*J337)*(D337*_xlfn.NORM.DIST(K337,0,1,TRUE)-G337*_xlfn.NORM.DIST(L337,0,1,TRUE))</f>
        <v>1780.4033357795147</v>
      </c>
      <c r="N337" s="3">
        <f>EXP(-E337*J337)*(G337*_xlfn.NORM.DIST(-L337,0,1,TRUE)-D337*_xlfn.NORM.DIST(-K337,0,1,TRUE))</f>
        <v>1258.5458458676387</v>
      </c>
      <c r="O337" s="3" t="b">
        <f>(M337-N337)=EXP(-E337*J337)*(D337-G337)</f>
        <v>1</v>
      </c>
    </row>
    <row r="338" spans="1:15" x14ac:dyDescent="0.3">
      <c r="A338" s="1">
        <v>45987</v>
      </c>
      <c r="B338" t="s">
        <v>16</v>
      </c>
      <c r="C338">
        <v>5655.58</v>
      </c>
      <c r="D338">
        <v>8261.7337800000005</v>
      </c>
      <c r="E338" s="2">
        <v>2.913068266843763E-2</v>
      </c>
      <c r="F338" s="1">
        <v>52947</v>
      </c>
      <c r="G338">
        <v>7917.8119999999999</v>
      </c>
      <c r="H338">
        <v>0.193942</v>
      </c>
      <c r="J338" s="3">
        <f>(F338-A338)/365</f>
        <v>19.068493150684933</v>
      </c>
      <c r="K338" s="3">
        <f>(LN(D338/G338)+H338^2*J338/2)/(H338*SQRT(J338))</f>
        <v>0.47365433420348679</v>
      </c>
      <c r="L338" s="3">
        <f>K338-H338*SQRT(J338)</f>
        <v>-0.37324161867131944</v>
      </c>
      <c r="M338" s="3">
        <f>EXP(-E338*J338)*(D338*_xlfn.NORM.DIST(K338,0,1,TRUE)-G338*_xlfn.NORM.DIST(L338,0,1,TRUE))</f>
        <v>1623.164815290151</v>
      </c>
      <c r="N338" s="3">
        <f>EXP(-E338*J338)*(G338*_xlfn.NORM.DIST(-L338,0,1,TRUE)-D338*_xlfn.NORM.DIST(-K338,0,1,TRUE))</f>
        <v>1425.8232571998492</v>
      </c>
      <c r="O338" s="3" t="b">
        <f>(M338-N338)=EXP(-E338*J338)*(D338-G338)</f>
        <v>1</v>
      </c>
    </row>
    <row r="339" spans="1:15" x14ac:dyDescent="0.3">
      <c r="A339" s="1">
        <v>45987</v>
      </c>
      <c r="B339" t="s">
        <v>16</v>
      </c>
      <c r="C339">
        <v>5655.58</v>
      </c>
      <c r="D339">
        <v>8261.7337800000005</v>
      </c>
      <c r="E339" s="2">
        <v>2.913068266843763E-2</v>
      </c>
      <c r="F339" s="1">
        <v>52947</v>
      </c>
      <c r="G339">
        <v>8483.3700000000008</v>
      </c>
      <c r="H339">
        <v>0.189577</v>
      </c>
      <c r="J339" s="3">
        <f>(F339-A339)/365</f>
        <v>19.068493150684933</v>
      </c>
      <c r="K339" s="3">
        <f>(LN(D339/G339)+H339^2*J339/2)/(H339*SQRT(J339))</f>
        <v>0.3819385817617631</v>
      </c>
      <c r="L339" s="3">
        <f>K339-H339*SQRT(J339)</f>
        <v>-0.44589651356646465</v>
      </c>
      <c r="M339" s="3">
        <f>EXP(-E339*J339)*(D339*_xlfn.NORM.DIST(K339,0,1,TRUE)-G339*_xlfn.NORM.DIST(L339,0,1,TRUE))</f>
        <v>1479.6048029660124</v>
      </c>
      <c r="N339" s="3">
        <f>EXP(-E339*J339)*(G339*_xlfn.NORM.DIST(-L339,0,1,TRUE)-D339*_xlfn.NORM.DIST(-K339,0,1,TRUE))</f>
        <v>1606.7791766972864</v>
      </c>
      <c r="O339" s="3" t="b">
        <f>(M339-N339)=EXP(-E339*J339)*(D339-G339)</f>
        <v>1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2C14-7394-49E4-9FFF-8F86E21930DA}">
  <dimension ref="A1:O339"/>
  <sheetViews>
    <sheetView workbookViewId="0">
      <selection activeCell="G19" sqref="G19"/>
    </sheetView>
  </sheetViews>
  <sheetFormatPr defaultRowHeight="14.4" x14ac:dyDescent="0.3"/>
  <cols>
    <col min="1" max="1" width="13.33203125" bestFit="1" customWidth="1"/>
    <col min="2" max="2" width="10.109375" bestFit="1" customWidth="1"/>
    <col min="3" max="3" width="9" bestFit="1" customWidth="1"/>
    <col min="4" max="4" width="12" bestFit="1" customWidth="1"/>
    <col min="5" max="5" width="12.88671875" bestFit="1" customWidth="1"/>
    <col min="6" max="6" width="9.5546875" bestFit="1" customWidth="1"/>
    <col min="7" max="7" width="12.33203125" bestFit="1" customWidth="1"/>
    <col min="8" max="8" width="9" bestFit="1" customWidth="1"/>
    <col min="10" max="10" width="12.21875" style="3" bestFit="1" customWidth="1"/>
    <col min="11" max="12" width="9" style="3" customWidth="1"/>
    <col min="13" max="13" width="8.88671875" style="3"/>
    <col min="14" max="14" width="12" style="3" bestFit="1" customWidth="1"/>
    <col min="15" max="15" width="11.33203125" style="3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11</v>
      </c>
      <c r="F1" s="4" t="s">
        <v>4</v>
      </c>
      <c r="G1" s="4" t="s">
        <v>8</v>
      </c>
      <c r="H1" s="4" t="s">
        <v>5</v>
      </c>
      <c r="J1" s="5" t="s">
        <v>7</v>
      </c>
      <c r="K1" s="5" t="s">
        <v>12</v>
      </c>
      <c r="L1" s="5" t="s">
        <v>13</v>
      </c>
      <c r="M1" s="5" t="s">
        <v>9</v>
      </c>
      <c r="N1" s="5" t="s">
        <v>10</v>
      </c>
      <c r="O1" s="5" t="s">
        <v>14</v>
      </c>
    </row>
    <row r="2" spans="1:15" x14ac:dyDescent="0.3">
      <c r="A2" s="1">
        <v>45987</v>
      </c>
      <c r="B2" t="s">
        <v>17</v>
      </c>
      <c r="C2">
        <v>49559.07</v>
      </c>
      <c r="D2">
        <v>49582.980190000002</v>
      </c>
      <c r="E2" s="2">
        <v>4.9473627240632558E-3</v>
      </c>
      <c r="F2" s="1">
        <v>46003</v>
      </c>
      <c r="G2">
        <v>24779.535</v>
      </c>
      <c r="H2">
        <v>1.0205979999999999</v>
      </c>
      <c r="J2" s="3">
        <f>(F2-A2)/365</f>
        <v>4.3835616438356165E-2</v>
      </c>
      <c r="K2" s="3">
        <f>(LN(D2/G2)+H2^2*J2/2)/(H2*SQRT(J2))</f>
        <v>3.3529216694543424</v>
      </c>
      <c r="L2" s="3">
        <f>K2-H2*SQRT(J2)</f>
        <v>3.1392395060352518</v>
      </c>
      <c r="M2" s="3">
        <f>EXP(-E2*J2)*(D2*_xlfn.NORM.DIST(K2,0,1,TRUE)-G2*_xlfn.NORM.DIST(L2,0,1,TRUE))</f>
        <v>24799.228926985536</v>
      </c>
      <c r="N2" s="3">
        <f>EXP(-E2*J2)*(G2*_xlfn.NORM.DIST(-L2,0,1,TRUE)-D2*_xlfn.NORM.DIST(-K2,0,1,TRUE))</f>
        <v>1.1622941293720037</v>
      </c>
      <c r="O2" s="3" t="b">
        <f>(M2-N2)=EXP(-E2*J2)*(D2-G2)</f>
        <v>1</v>
      </c>
    </row>
    <row r="3" spans="1:15" x14ac:dyDescent="0.3">
      <c r="A3" s="1">
        <v>45987</v>
      </c>
      <c r="B3" t="s">
        <v>17</v>
      </c>
      <c r="C3">
        <v>49559.07</v>
      </c>
      <c r="D3">
        <v>49582.980190000002</v>
      </c>
      <c r="E3" s="2">
        <v>4.9473627240632558E-3</v>
      </c>
      <c r="F3" s="1">
        <v>46003</v>
      </c>
      <c r="G3">
        <v>29735.442000000003</v>
      </c>
      <c r="H3">
        <v>0.84366200000000002</v>
      </c>
      <c r="J3" s="3">
        <f>(F3-A3)/365</f>
        <v>4.3835616438356165E-2</v>
      </c>
      <c r="K3" s="3">
        <f>(LN(D3/G3)+H3^2*J3/2)/(H3*SQRT(J3))</f>
        <v>2.982998248252466</v>
      </c>
      <c r="L3" s="3">
        <f>K3-H3*SQRT(J3)</f>
        <v>2.8063610989003438</v>
      </c>
      <c r="M3" s="3">
        <f>EXP(-E3*J3)*(D3*_xlfn.NORM.DIST(K3,0,1,TRUE)-G3*_xlfn.NORM.DIST(L3,0,1,TRUE))</f>
        <v>19846.962747507674</v>
      </c>
      <c r="N3" s="3">
        <f>EXP(-E3*J3)*(G3*_xlfn.NORM.DIST(-L3,0,1,TRUE)-D3*_xlfn.NORM.DIST(-K3,0,1,TRUE))</f>
        <v>3.7284401941979302</v>
      </c>
      <c r="O3" s="3" t="b">
        <f>(M3-N3)=EXP(-E3*J3)*(D3-G3)</f>
        <v>1</v>
      </c>
    </row>
    <row r="4" spans="1:15" x14ac:dyDescent="0.3">
      <c r="A4" s="1">
        <v>45987</v>
      </c>
      <c r="B4" t="s">
        <v>17</v>
      </c>
      <c r="C4">
        <v>49559.07</v>
      </c>
      <c r="D4">
        <v>49582.980190000002</v>
      </c>
      <c r="E4" s="2">
        <v>4.9473627240632558E-3</v>
      </c>
      <c r="F4" s="1">
        <v>46003</v>
      </c>
      <c r="G4">
        <v>34691.349000000002</v>
      </c>
      <c r="H4">
        <v>0.68481499999999995</v>
      </c>
      <c r="J4" s="3">
        <f>(F4-A4)/365</f>
        <v>4.3835616438356165E-2</v>
      </c>
      <c r="K4" s="3">
        <f>(LN(D4/G4)+H4^2*J4/2)/(H4*SQRT(J4))</f>
        <v>2.5626837631684034</v>
      </c>
      <c r="L4" s="3">
        <f>K4-H4*SQRT(J4)</f>
        <v>2.4193043417489566</v>
      </c>
      <c r="M4" s="3">
        <f>EXP(-E4*J4)*(D4*_xlfn.NORM.DIST(K4,0,1,TRUE)-G4*_xlfn.NORM.DIST(L4,0,1,TRUE))</f>
        <v>14900.627657542185</v>
      </c>
      <c r="N4" s="3">
        <f>EXP(-E4*J4)*(G4*_xlfn.NORM.DIST(-L4,0,1,TRUE)-D4*_xlfn.NORM.DIST(-K4,0,1,TRUE))</f>
        <v>12.225675771399015</v>
      </c>
      <c r="O4" s="3" t="b">
        <f>(M4-N4)=EXP(-E4*J4)*(D4-G4)</f>
        <v>1</v>
      </c>
    </row>
    <row r="5" spans="1:15" x14ac:dyDescent="0.3">
      <c r="A5" s="1">
        <v>45987</v>
      </c>
      <c r="B5" t="s">
        <v>17</v>
      </c>
      <c r="C5">
        <v>49559.07</v>
      </c>
      <c r="D5">
        <v>49582.980190000002</v>
      </c>
      <c r="E5" s="2">
        <v>4.9473627240632558E-3</v>
      </c>
      <c r="F5" s="1">
        <v>46003</v>
      </c>
      <c r="G5">
        <v>39647.256000000001</v>
      </c>
      <c r="H5">
        <v>0.53741099999999997</v>
      </c>
      <c r="J5" s="3">
        <f>(F5-A5)/365</f>
        <v>4.3835616438356165E-2</v>
      </c>
      <c r="K5" s="3">
        <f>(LN(D5/G5)+H5^2*J5/2)/(H5*SQRT(J5))</f>
        <v>2.0437351434216917</v>
      </c>
      <c r="L5" s="3">
        <f>K5-H5*SQRT(J5)</f>
        <v>1.93121763395644</v>
      </c>
      <c r="M5" s="3">
        <f>EXP(-E5*J5)*(D5*_xlfn.NORM.DIST(K5,0,1,TRUE)-G5*_xlfn.NORM.DIST(L5,0,1,TRUE))</f>
        <v>9977.3065787696505</v>
      </c>
      <c r="N5" s="3">
        <f>EXP(-E5*J5)*(G5*_xlfn.NORM.DIST(-L5,0,1,TRUE)-D5*_xlfn.NORM.DIST(-K5,0,1,TRUE))</f>
        <v>43.736922541551202</v>
      </c>
      <c r="O5" s="3" t="b">
        <f>(M5-N5)=EXP(-E5*J5)*(D5-G5)</f>
        <v>1</v>
      </c>
    </row>
    <row r="6" spans="1:15" x14ac:dyDescent="0.3">
      <c r="A6" s="1">
        <v>45987</v>
      </c>
      <c r="B6" t="s">
        <v>17</v>
      </c>
      <c r="C6">
        <v>49559.07</v>
      </c>
      <c r="D6">
        <v>49582.980190000002</v>
      </c>
      <c r="E6" s="2">
        <v>4.9473627240632558E-3</v>
      </c>
      <c r="F6" s="1">
        <v>46003</v>
      </c>
      <c r="G6">
        <v>44603.163</v>
      </c>
      <c r="H6">
        <v>0.39729100000000001</v>
      </c>
      <c r="J6" s="3">
        <f>(F6-A6)/365</f>
        <v>4.3835616438356165E-2</v>
      </c>
      <c r="K6" s="3">
        <f>(LN(D6/G6)+H6^2*J6/2)/(H6*SQRT(J6))</f>
        <v>1.3140360598907155</v>
      </c>
      <c r="L6" s="3">
        <f>K6-H6*SQRT(J6)</f>
        <v>1.2308554144388</v>
      </c>
      <c r="M6" s="3">
        <f>EXP(-E6*J6)*(D6*_xlfn.NORM.DIST(K6,0,1,TRUE)-G6*_xlfn.NORM.DIST(L6,0,1,TRUE))</f>
        <v>5167.3697025627844</v>
      </c>
      <c r="N6" s="3">
        <f>EXP(-E6*J6)*(G6*_xlfn.NORM.DIST(-L6,0,1,TRUE)-D6*_xlfn.NORM.DIST(-K6,0,1,TRUE))</f>
        <v>188.63237187736979</v>
      </c>
      <c r="O6" s="3" t="b">
        <f>(M6-N6)=EXP(-E6*J6)*(D6-G6)</f>
        <v>1</v>
      </c>
    </row>
    <row r="7" spans="1:15" x14ac:dyDescent="0.3">
      <c r="A7" s="1">
        <v>45987</v>
      </c>
      <c r="B7" t="s">
        <v>17</v>
      </c>
      <c r="C7">
        <v>49559.07</v>
      </c>
      <c r="D7">
        <v>49582.980190000002</v>
      </c>
      <c r="E7" s="2">
        <v>4.9473627240632558E-3</v>
      </c>
      <c r="F7" s="1">
        <v>46003</v>
      </c>
      <c r="G7">
        <v>47081.116500000004</v>
      </c>
      <c r="H7">
        <v>0.331067</v>
      </c>
      <c r="J7" s="3">
        <f>(F7-A7)/365</f>
        <v>4.3835616438356165E-2</v>
      </c>
      <c r="K7" s="3">
        <f>(LN(D7/G7)+H7^2*J7/2)/(H7*SQRT(J7))</f>
        <v>0.78161535188253417</v>
      </c>
      <c r="L7" s="3">
        <f>K7-H7*SQRT(J7)</f>
        <v>0.71229999677046441</v>
      </c>
      <c r="M7" s="3">
        <f>EXP(-E7*J7)*(D7*_xlfn.NORM.DIST(K7,0,1,TRUE)-G7*_xlfn.NORM.DIST(L7,0,1,TRUE))</f>
        <v>2942.6682302322483</v>
      </c>
      <c r="N7" s="3">
        <f>EXP(-E7*J7)*(G7*_xlfn.NORM.DIST(-L7,0,1,TRUE)-D7*_xlfn.NORM.DIST(-K7,0,1,TRUE))</f>
        <v>441.34706231817972</v>
      </c>
      <c r="O7" s="3" t="b">
        <f>(M7-N7)=EXP(-E7*J7)*(D7-G7)</f>
        <v>1</v>
      </c>
    </row>
    <row r="8" spans="1:15" x14ac:dyDescent="0.3">
      <c r="A8" s="1">
        <v>45987</v>
      </c>
      <c r="B8" t="s">
        <v>17</v>
      </c>
      <c r="C8">
        <v>49559.07</v>
      </c>
      <c r="D8">
        <v>49582.980190000002</v>
      </c>
      <c r="E8" s="2">
        <v>4.9473627240632558E-3</v>
      </c>
      <c r="F8" s="1">
        <v>46003</v>
      </c>
      <c r="G8">
        <v>49559.07</v>
      </c>
      <c r="H8">
        <v>0.27551999999999999</v>
      </c>
      <c r="J8" s="3">
        <f>(F8-A8)/365</f>
        <v>4.3835616438356165E-2</v>
      </c>
      <c r="K8" s="3">
        <f>(LN(D8/G8)+H8^2*J8/2)/(H8*SQRT(J8))</f>
        <v>3.7204333709154616E-2</v>
      </c>
      <c r="L8" s="3">
        <f>K8-H8*SQRT(J8)</f>
        <v>-2.0481169951667648E-2</v>
      </c>
      <c r="M8" s="3">
        <f>EXP(-E8*J8)*(D8*_xlfn.NORM.DIST(K8,0,1,TRUE)-G8*_xlfn.NORM.DIST(L8,0,1,TRUE))</f>
        <v>1152.3741027268718</v>
      </c>
      <c r="N8" s="3">
        <f>EXP(-E8*J8)*(G8*_xlfn.NORM.DIST(-L8,0,1,TRUE)-D8*_xlfn.NORM.DIST(-K8,0,1,TRUE))</f>
        <v>1128.4690975841443</v>
      </c>
      <c r="O8" s="3" t="b">
        <f>(M8-N8)=EXP(-E8*J8)*(D8-G8)</f>
        <v>1</v>
      </c>
    </row>
    <row r="9" spans="1:15" x14ac:dyDescent="0.3">
      <c r="A9" s="1">
        <v>45987</v>
      </c>
      <c r="B9" t="s">
        <v>17</v>
      </c>
      <c r="C9">
        <v>49559.07</v>
      </c>
      <c r="D9">
        <v>49582.980190000002</v>
      </c>
      <c r="E9" s="2">
        <v>4.9473627240632558E-3</v>
      </c>
      <c r="F9" s="1">
        <v>46003</v>
      </c>
      <c r="G9">
        <v>52037.023499999996</v>
      </c>
      <c r="H9">
        <v>0.25387900000000002</v>
      </c>
      <c r="J9" s="3">
        <f>(F9-A9)/365</f>
        <v>4.3835616438356165E-2</v>
      </c>
      <c r="K9" s="3">
        <f>(LN(D9/G9)+H9^2*J9/2)/(H9*SQRT(J9))</f>
        <v>-0.88224115048539486</v>
      </c>
      <c r="L9" s="3">
        <f>K9-H9*SQRT(J9)</f>
        <v>-0.93539568730270717</v>
      </c>
      <c r="M9" s="3">
        <f>EXP(-E9*J9)*(D9*_xlfn.NORM.DIST(K9,0,1,TRUE)-G9*_xlfn.NORM.DIST(L9,0,1,TRUE))</f>
        <v>266.69316293353523</v>
      </c>
      <c r="N9" s="3">
        <f>EXP(-E9*J9)*(G9*_xlfn.NORM.DIST(-L9,0,1,TRUE)-D9*_xlfn.NORM.DIST(-K9,0,1,TRUE))</f>
        <v>2720.2043205621526</v>
      </c>
      <c r="O9" s="3" t="b">
        <f>(M9-N9)=EXP(-E9*J9)*(D9-G9)</f>
        <v>0</v>
      </c>
    </row>
    <row r="10" spans="1:15" x14ac:dyDescent="0.3">
      <c r="A10" s="1">
        <v>45987</v>
      </c>
      <c r="B10" t="s">
        <v>17</v>
      </c>
      <c r="C10">
        <v>49559.07</v>
      </c>
      <c r="D10">
        <v>49582.980190000002</v>
      </c>
      <c r="E10" s="2">
        <v>4.9473627240632558E-3</v>
      </c>
      <c r="F10" s="1">
        <v>46003</v>
      </c>
      <c r="G10">
        <v>54514.976999999999</v>
      </c>
      <c r="H10">
        <v>0.27224399999999999</v>
      </c>
      <c r="J10" s="3">
        <f>(F10-A10)/365</f>
        <v>4.3835616438356165E-2</v>
      </c>
      <c r="K10" s="3">
        <f>(LN(D10/G10)+H10^2*J10/2)/(H10*SQRT(J10))</f>
        <v>-1.6351578851931861</v>
      </c>
      <c r="L10" s="3">
        <f>K10-H10*SQRT(J10)</f>
        <v>-1.6921574941458462</v>
      </c>
      <c r="M10" s="3">
        <f>EXP(-E10*J10)*(D10*_xlfn.NORM.DIST(K10,0,1,TRUE)-G10*_xlfn.NORM.DIST(L10,0,1,TRUE))</f>
        <v>59.151511435063291</v>
      </c>
      <c r="N10" s="3">
        <f>EXP(-E10*J10)*(G10*_xlfn.NORM.DIST(-L10,0,1,TRUE)-D10*_xlfn.NORM.DIST(-K10,0,1,TRUE))</f>
        <v>4990.0788318350205</v>
      </c>
      <c r="O10" s="3" t="b">
        <f>(M10-N10)=EXP(-E10*J10)*(D10-G10)</f>
        <v>1</v>
      </c>
    </row>
    <row r="11" spans="1:15" x14ac:dyDescent="0.3">
      <c r="A11" s="1">
        <v>45987</v>
      </c>
      <c r="B11" t="s">
        <v>17</v>
      </c>
      <c r="C11">
        <v>49559.07</v>
      </c>
      <c r="D11">
        <v>49582.980190000002</v>
      </c>
      <c r="E11" s="2">
        <v>4.9473627240632558E-3</v>
      </c>
      <c r="F11" s="1">
        <v>46003</v>
      </c>
      <c r="G11">
        <v>59470.884000000005</v>
      </c>
      <c r="H11">
        <v>0.34233400000000003</v>
      </c>
      <c r="J11" s="3">
        <f>(F11-A11)/365</f>
        <v>4.3835616438356165E-2</v>
      </c>
      <c r="K11" s="3">
        <f>(LN(D11/G11)+H11^2*J11/2)/(H11*SQRT(J11))</f>
        <v>-2.5011832047106024</v>
      </c>
      <c r="L11" s="3">
        <f>K11-H11*SQRT(J11)</f>
        <v>-2.5728575267570015</v>
      </c>
      <c r="M11" s="3">
        <f>EXP(-E11*J11)*(D11*_xlfn.NORM.DIST(K11,0,1,TRUE)-G11*_xlfn.NORM.DIST(L11,0,1,TRUE))</f>
        <v>6.945643174925606</v>
      </c>
      <c r="N11" s="3">
        <f>EXP(-E11*J11)*(G11*_xlfn.NORM.DIST(-L11,0,1,TRUE)-D11*_xlfn.NORM.DIST(-K11,0,1,TRUE))</f>
        <v>9892.705289117579</v>
      </c>
      <c r="O11" s="3" t="b">
        <f>(M11-N11)=EXP(-E11*J11)*(D11-G11)</f>
        <v>1</v>
      </c>
    </row>
    <row r="12" spans="1:15" x14ac:dyDescent="0.3">
      <c r="A12" s="1">
        <v>45987</v>
      </c>
      <c r="B12" t="s">
        <v>17</v>
      </c>
      <c r="C12">
        <v>49559.07</v>
      </c>
      <c r="D12">
        <v>49582.980190000002</v>
      </c>
      <c r="E12" s="2">
        <v>4.9473627240632558E-3</v>
      </c>
      <c r="F12" s="1">
        <v>46003</v>
      </c>
      <c r="G12">
        <v>64426.790999999997</v>
      </c>
      <c r="H12">
        <v>0.41309600000000002</v>
      </c>
      <c r="J12" s="3">
        <f>(F12-A12)/365</f>
        <v>4.3835616438356165E-2</v>
      </c>
      <c r="K12" s="3">
        <f>(LN(D12/G12)+H12^2*J12/2)/(H12*SQRT(J12))</f>
        <v>-2.9846512543171082</v>
      </c>
      <c r="L12" s="3">
        <f>K12-H12*SQRT(J12)</f>
        <v>-3.0711409858076388</v>
      </c>
      <c r="M12" s="3">
        <f>EXP(-E12*J12)*(D12*_xlfn.NORM.DIST(K12,0,1,TRUE)-G12*_xlfn.NORM.DIST(L12,0,1,TRUE))</f>
        <v>1.690491268262954</v>
      </c>
      <c r="N12" s="3">
        <f>EXP(-E12*J12)*(G12*_xlfn.NORM.DIST(-L12,0,1,TRUE)-D12*_xlfn.NORM.DIST(-K12,0,1,TRUE))</f>
        <v>14842.282462753599</v>
      </c>
      <c r="O12" s="3" t="b">
        <f>(M12-N12)=EXP(-E12*J12)*(D12-G12)</f>
        <v>1</v>
      </c>
    </row>
    <row r="13" spans="1:15" x14ac:dyDescent="0.3">
      <c r="A13" s="1">
        <v>45987</v>
      </c>
      <c r="B13" t="s">
        <v>17</v>
      </c>
      <c r="C13">
        <v>49559.07</v>
      </c>
      <c r="D13">
        <v>49582.980190000002</v>
      </c>
      <c r="E13" s="2">
        <v>4.9473627240632558E-3</v>
      </c>
      <c r="F13" s="1">
        <v>46003</v>
      </c>
      <c r="G13">
        <v>69382.698000000004</v>
      </c>
      <c r="H13">
        <v>0.47791499999999998</v>
      </c>
      <c r="J13" s="3">
        <f>(F13-A13)/365</f>
        <v>4.3835616438356165E-2</v>
      </c>
      <c r="K13" s="3">
        <f>(LN(D13/G13)+H13^2*J13/2)/(H13*SQRT(J13))</f>
        <v>-3.3078250070428079</v>
      </c>
      <c r="L13" s="3">
        <f>K13-H13*SQRT(J13)</f>
        <v>-3.4078858646286889</v>
      </c>
      <c r="M13" s="3">
        <f>EXP(-E13*J13)*(D13*_xlfn.NORM.DIST(K13,0,1,TRUE)-G13*_xlfn.NORM.DIST(L13,0,1,TRUE))</f>
        <v>0.59788044695827858</v>
      </c>
      <c r="N13" s="3">
        <f>EXP(-E13*J13)*(G13*_xlfn.NORM.DIST(-L13,0,1,TRUE)-D13*_xlfn.NORM.DIST(-K13,0,1,TRUE))</f>
        <v>19796.022177474981</v>
      </c>
      <c r="O13" s="3" t="b">
        <f>(M13-N13)=EXP(-E13*J13)*(D13-G13)</f>
        <v>1</v>
      </c>
    </row>
    <row r="14" spans="1:15" x14ac:dyDescent="0.3">
      <c r="A14" s="1">
        <v>45987</v>
      </c>
      <c r="B14" t="s">
        <v>17</v>
      </c>
      <c r="C14">
        <v>49559.07</v>
      </c>
      <c r="D14">
        <v>49582.980190000002</v>
      </c>
      <c r="E14" s="2">
        <v>4.9473627240632558E-3</v>
      </c>
      <c r="F14" s="1">
        <v>46003</v>
      </c>
      <c r="G14">
        <v>74338.604999999996</v>
      </c>
      <c r="H14">
        <v>0.53698599999999996</v>
      </c>
      <c r="J14" s="3">
        <f>(F14-A14)/365</f>
        <v>4.3835616438356165E-2</v>
      </c>
      <c r="K14" s="3">
        <f>(LN(D14/G14)+H14^2*J14/2)/(H14*SQRT(J14))</f>
        <v>-3.5459210254250229</v>
      </c>
      <c r="L14" s="3">
        <f>K14-H14*SQRT(J14)</f>
        <v>-3.6583495528234344</v>
      </c>
      <c r="M14" s="3">
        <f>EXP(-E14*J14)*(D14*_xlfn.NORM.DIST(K14,0,1,TRUE)-G14*_xlfn.NORM.DIST(L14,0,1,TRUE))</f>
        <v>0.26422087329368749</v>
      </c>
      <c r="N14" s="3">
        <f>EXP(-E14*J14)*(G14*_xlfn.NORM.DIST(-L14,0,1,TRUE)-D14*_xlfn.NORM.DIST(-K14,0,1,TRUE))</f>
        <v>24750.520843443999</v>
      </c>
      <c r="O14" s="3" t="b">
        <f>(M14-N14)=EXP(-E14*J14)*(D14-G14)</f>
        <v>1</v>
      </c>
    </row>
    <row r="15" spans="1:15" x14ac:dyDescent="0.3">
      <c r="A15" s="1">
        <v>45987</v>
      </c>
      <c r="B15" t="s">
        <v>17</v>
      </c>
      <c r="C15">
        <v>49559.07</v>
      </c>
      <c r="D15">
        <v>49580.64572</v>
      </c>
      <c r="E15" s="2">
        <v>5.4198157656173739E-3</v>
      </c>
      <c r="F15" s="1">
        <v>46031</v>
      </c>
      <c r="G15">
        <v>24779.535</v>
      </c>
      <c r="H15">
        <v>0.76627900000000004</v>
      </c>
      <c r="J15" s="3">
        <f>(F15-A15)/365</f>
        <v>0.12054794520547946</v>
      </c>
      <c r="K15" s="3">
        <f>(LN(D15/G15)+H15^2*J15/2)/(H15*SQRT(J15))</f>
        <v>2.7399674325565075</v>
      </c>
      <c r="L15" s="3">
        <f>K15-H15*SQRT(J15)</f>
        <v>2.4739152476609831</v>
      </c>
      <c r="M15" s="3">
        <f>EXP(-E15*J15)*(D15*_xlfn.NORM.DIST(K15,0,1,TRUE)-G15*_xlfn.NORM.DIST(L15,0,1,TRUE))</f>
        <v>24798.157376250438</v>
      </c>
      <c r="N15" s="3">
        <f>EXP(-E15*J15)*(G15*_xlfn.NORM.DIST(-L15,0,1,TRUE)-D15*_xlfn.NORM.DIST(-K15,0,1,TRUE))</f>
        <v>13.245111566790888</v>
      </c>
      <c r="O15" s="3" t="b">
        <f>(M15-N15)=EXP(-E15*J15)*(D15-G15)</f>
        <v>1</v>
      </c>
    </row>
    <row r="16" spans="1:15" x14ac:dyDescent="0.3">
      <c r="A16" s="1">
        <v>45987</v>
      </c>
      <c r="B16" t="s">
        <v>17</v>
      </c>
      <c r="C16">
        <v>49559.07</v>
      </c>
      <c r="D16">
        <v>49580.64572</v>
      </c>
      <c r="E16" s="2">
        <v>5.4198157656173739E-3</v>
      </c>
      <c r="F16" s="1">
        <v>46031</v>
      </c>
      <c r="G16">
        <v>29735.442000000003</v>
      </c>
      <c r="H16">
        <v>0.643702</v>
      </c>
      <c r="J16" s="3">
        <f>(F16-A16)/365</f>
        <v>0.12054794520547946</v>
      </c>
      <c r="K16" s="3">
        <f>(LN(D16/G16)+H16^2*J16/2)/(H16*SQRT(J16))</f>
        <v>2.3993346698190448</v>
      </c>
      <c r="L16" s="3">
        <f>K16-H16*SQRT(J16)</f>
        <v>2.175841237894617</v>
      </c>
      <c r="M16" s="3">
        <f>EXP(-E16*J16)*(D16*_xlfn.NORM.DIST(K16,0,1,TRUE)-G16*_xlfn.NORM.DIST(L16,0,1,TRUE))</f>
        <v>19864.638408747676</v>
      </c>
      <c r="N16" s="3">
        <f>EXP(-E16*J16)*(G16*_xlfn.NORM.DIST(-L16,0,1,TRUE)-D16*_xlfn.NORM.DIST(-K16,0,1,TRUE))</f>
        <v>32.396271369190039</v>
      </c>
      <c r="O16" s="3" t="b">
        <f>(M16-N16)=EXP(-E16*J16)*(D16-G16)</f>
        <v>1</v>
      </c>
    </row>
    <row r="17" spans="1:15" x14ac:dyDescent="0.3">
      <c r="A17" s="1">
        <v>45987</v>
      </c>
      <c r="B17" t="s">
        <v>17</v>
      </c>
      <c r="C17">
        <v>49559.07</v>
      </c>
      <c r="D17">
        <v>49580.64572</v>
      </c>
      <c r="E17" s="2">
        <v>5.4198157656173739E-3</v>
      </c>
      <c r="F17" s="1">
        <v>46031</v>
      </c>
      <c r="G17">
        <v>34691.349000000002</v>
      </c>
      <c r="H17">
        <v>0.53397300000000003</v>
      </c>
      <c r="J17" s="3">
        <f>(F17-A17)/365</f>
        <v>0.12054794520547946</v>
      </c>
      <c r="K17" s="3">
        <f>(LN(D17/G17)+H17^2*J17/2)/(H17*SQRT(J17))</f>
        <v>2.0189051870284112</v>
      </c>
      <c r="L17" s="3">
        <f>K17-H17*SQRT(J17)</f>
        <v>1.833509680528536</v>
      </c>
      <c r="M17" s="3">
        <f>EXP(-E17*J17)*(D17*_xlfn.NORM.DIST(K17,0,1,TRUE)-G17*_xlfn.NORM.DIST(L17,0,1,TRUE))</f>
        <v>14958.635335844363</v>
      </c>
      <c r="N17" s="3">
        <f>EXP(-E17*J17)*(G17*_xlfn.NORM.DIST(-L17,0,1,TRUE)-D17*_xlfn.NORM.DIST(-K17,0,1,TRUE))</f>
        <v>79.063325771017588</v>
      </c>
      <c r="O17" s="3" t="b">
        <f>(M17-N17)=EXP(-E17*J17)*(D17-G17)</f>
        <v>1</v>
      </c>
    </row>
    <row r="18" spans="1:15" x14ac:dyDescent="0.3">
      <c r="A18" s="1">
        <v>45987</v>
      </c>
      <c r="B18" t="s">
        <v>17</v>
      </c>
      <c r="C18">
        <v>49559.07</v>
      </c>
      <c r="D18">
        <v>49580.64572</v>
      </c>
      <c r="E18" s="2">
        <v>5.4198157656173739E-3</v>
      </c>
      <c r="F18" s="1">
        <v>46031</v>
      </c>
      <c r="G18">
        <v>39647.256000000001</v>
      </c>
      <c r="H18">
        <v>0.43293999999999999</v>
      </c>
      <c r="J18" s="3">
        <f>(F18-A18)/365</f>
        <v>0.12054794520547946</v>
      </c>
      <c r="K18" s="3">
        <f>(LN(D18/G18)+H18^2*J18/2)/(H18*SQRT(J18))</f>
        <v>1.5625421305214007</v>
      </c>
      <c r="L18" s="3">
        <f>K18-H18*SQRT(J18)</f>
        <v>1.4122252969285862</v>
      </c>
      <c r="M18" s="3">
        <f>EXP(-E18*J18)*(D18*_xlfn.NORM.DIST(K18,0,1,TRUE)-G18*_xlfn.NORM.DIST(L18,0,1,TRUE))</f>
        <v>10127.364596644224</v>
      </c>
      <c r="N18" s="3">
        <f>EXP(-E18*J18)*(G18*_xlfn.NORM.DIST(-L18,0,1,TRUE)-D18*_xlfn.NORM.DIST(-K18,0,1,TRUE))</f>
        <v>200.46271387602067</v>
      </c>
      <c r="O18" s="3" t="b">
        <f>(M18-N18)=EXP(-E18*J18)*(D18-G18)</f>
        <v>0</v>
      </c>
    </row>
    <row r="19" spans="1:15" x14ac:dyDescent="0.3">
      <c r="A19" s="1">
        <v>45987</v>
      </c>
      <c r="B19" t="s">
        <v>17</v>
      </c>
      <c r="C19">
        <v>49559.07</v>
      </c>
      <c r="D19">
        <v>49580.64572</v>
      </c>
      <c r="E19" s="2">
        <v>5.4198157656173739E-3</v>
      </c>
      <c r="F19" s="1">
        <v>46031</v>
      </c>
      <c r="G19">
        <v>44603.163</v>
      </c>
      <c r="H19">
        <v>0.33879100000000001</v>
      </c>
      <c r="J19" s="3">
        <f>(F19-A19)/365</f>
        <v>0.12054794520547946</v>
      </c>
      <c r="K19" s="3">
        <f>(LN(D19/G19)+H19^2*J19/2)/(H19*SQRT(J19))</f>
        <v>0.95822174028354534</v>
      </c>
      <c r="L19" s="3">
        <f>K19-H19*SQRT(J19)</f>
        <v>0.8405934537548273</v>
      </c>
      <c r="M19" s="3">
        <f>EXP(-E19*J19)*(D19*_xlfn.NORM.DIST(K19,0,1,TRUE)-G19*_xlfn.NORM.DIST(L19,0,1,TRUE))</f>
        <v>5529.4277998575399</v>
      </c>
      <c r="N19" s="3">
        <f>EXP(-E19*J19)*(G19*_xlfn.NORM.DIST(-L19,0,1,TRUE)-D19*_xlfn.NORM.DIST(-K19,0,1,TRUE))</f>
        <v>555.19604439449449</v>
      </c>
      <c r="O19" s="3" t="b">
        <f>(M19-N19)=EXP(-E19*J19)*(D19-G19)</f>
        <v>0</v>
      </c>
    </row>
    <row r="20" spans="1:15" x14ac:dyDescent="0.3">
      <c r="A20" s="1">
        <v>45987</v>
      </c>
      <c r="B20" t="s">
        <v>17</v>
      </c>
      <c r="C20">
        <v>49559.07</v>
      </c>
      <c r="D20">
        <v>49580.64572</v>
      </c>
      <c r="E20" s="2">
        <v>5.4198157656173739E-3</v>
      </c>
      <c r="F20" s="1">
        <v>46031</v>
      </c>
      <c r="G20">
        <v>47081.116500000004</v>
      </c>
      <c r="H20">
        <v>0.29546899999999998</v>
      </c>
      <c r="J20" s="3">
        <f>(F20-A20)/365</f>
        <v>0.12054794520547946</v>
      </c>
      <c r="K20" s="3">
        <f>(LN(D20/G20)+H20^2*J20/2)/(H20*SQRT(J20))</f>
        <v>0.55553484542193321</v>
      </c>
      <c r="L20" s="3">
        <f>K20-H20*SQRT(J20)</f>
        <v>0.45294796385673874</v>
      </c>
      <c r="M20" s="3">
        <f>EXP(-E20*J20)*(D20*_xlfn.NORM.DIST(K20,0,1,TRUE)-G20*_xlfn.NORM.DIST(L20,0,1,TRUE))</f>
        <v>3470.5058634908314</v>
      </c>
      <c r="N20" s="3">
        <f>EXP(-E20*J20)*(G20*_xlfn.NORM.DIST(-L20,0,1,TRUE)-D20*_xlfn.NORM.DIST(-K20,0,1,TRUE))</f>
        <v>972.60917168036076</v>
      </c>
      <c r="O20" s="3" t="b">
        <f>(M20-N20)=EXP(-E20*J20)*(D20-G20)</f>
        <v>1</v>
      </c>
    </row>
    <row r="21" spans="1:15" x14ac:dyDescent="0.3">
      <c r="A21" s="1">
        <v>45987</v>
      </c>
      <c r="B21" t="s">
        <v>17</v>
      </c>
      <c r="C21">
        <v>49559.07</v>
      </c>
      <c r="D21">
        <v>49580.64572</v>
      </c>
      <c r="E21" s="2">
        <v>5.4198157656173739E-3</v>
      </c>
      <c r="F21" s="1">
        <v>46031</v>
      </c>
      <c r="G21">
        <v>49559.07</v>
      </c>
      <c r="H21">
        <v>0.25842900000000002</v>
      </c>
      <c r="J21" s="3">
        <f>(F21-A21)/365</f>
        <v>0.12054794520547946</v>
      </c>
      <c r="K21" s="3">
        <f>(LN(D21/G21)+H21^2*J21/2)/(H21*SQRT(J21))</f>
        <v>4.9714240394940754E-2</v>
      </c>
      <c r="L21" s="3">
        <f>K21-H21*SQRT(J21)</f>
        <v>-4.0012347558487996E-2</v>
      </c>
      <c r="M21" s="3">
        <f>EXP(-E21*J21)*(D21*_xlfn.NORM.DIST(K21,0,1,TRUE)-G21*_xlfn.NORM.DIST(L21,0,1,TRUE))</f>
        <v>1783.4373159435777</v>
      </c>
      <c r="N21" s="3">
        <f>EXP(-E21*J21)*(G21*_xlfn.NORM.DIST(-L21,0,1,TRUE)-D21*_xlfn.NORM.DIST(-K21,0,1,TRUE))</f>
        <v>1761.8756877856872</v>
      </c>
      <c r="O21" s="3" t="b">
        <f>(M21-N21)=EXP(-E21*J21)*(D21-G21)</f>
        <v>0</v>
      </c>
    </row>
    <row r="22" spans="1:15" x14ac:dyDescent="0.3">
      <c r="A22" s="1">
        <v>45987</v>
      </c>
      <c r="B22" t="s">
        <v>17</v>
      </c>
      <c r="C22">
        <v>49559.07</v>
      </c>
      <c r="D22">
        <v>49580.64572</v>
      </c>
      <c r="E22" s="2">
        <v>5.4198157656173739E-3</v>
      </c>
      <c r="F22" s="1">
        <v>46031</v>
      </c>
      <c r="G22">
        <v>52037.023499999996</v>
      </c>
      <c r="H22">
        <v>0.235536</v>
      </c>
      <c r="J22" s="3">
        <f>(F22-A22)/365</f>
        <v>0.12054794520547946</v>
      </c>
      <c r="K22" s="3">
        <f>(LN(D22/G22)+H22^2*J22/2)/(H22*SQRT(J22))</f>
        <v>-0.55040474681446172</v>
      </c>
      <c r="L22" s="3">
        <f>K22-H22*SQRT(J22)</f>
        <v>-0.63218288169947379</v>
      </c>
      <c r="M22" s="3">
        <f>EXP(-E22*J22)*(D22*_xlfn.NORM.DIST(K22,0,1,TRUE)-G22*_xlfn.NORM.DIST(L22,0,1,TRUE))</f>
        <v>709.82749816689727</v>
      </c>
      <c r="N22" s="3">
        <f>EXP(-E22*J22)*(G22*_xlfn.NORM.DIST(-L22,0,1,TRUE)-D22*_xlfn.NORM.DIST(-K22,0,1,TRUE))</f>
        <v>3164.6009336615743</v>
      </c>
      <c r="O22" s="3" t="b">
        <f>(M22-N22)=EXP(-E22*J22)*(D22-G22)</f>
        <v>1</v>
      </c>
    </row>
    <row r="23" spans="1:15" x14ac:dyDescent="0.3">
      <c r="A23" s="1">
        <v>45987</v>
      </c>
      <c r="B23" t="s">
        <v>17</v>
      </c>
      <c r="C23">
        <v>49559.07</v>
      </c>
      <c r="D23">
        <v>49580.64572</v>
      </c>
      <c r="E23" s="2">
        <v>5.4198157656173739E-3</v>
      </c>
      <c r="F23" s="1">
        <v>46031</v>
      </c>
      <c r="G23">
        <v>54514.976999999999</v>
      </c>
      <c r="H23">
        <v>0.23310700000000001</v>
      </c>
      <c r="J23" s="3">
        <f>(F23-A23)/365</f>
        <v>0.12054794520547946</v>
      </c>
      <c r="K23" s="3">
        <f>(LN(D23/G23)+H23^2*J23/2)/(H23*SQRT(J23))</f>
        <v>-1.1317717141382109</v>
      </c>
      <c r="L23" s="3">
        <f>K23-H23*SQRT(J23)</f>
        <v>-1.2127064998552159</v>
      </c>
      <c r="M23" s="3">
        <f>EXP(-E23*J23)*(D23*_xlfn.NORM.DIST(K23,0,1,TRUE)-G23*_xlfn.NORM.DIST(L23,0,1,TRUE))</f>
        <v>249.52461284228568</v>
      </c>
      <c r="N23" s="3">
        <f>EXP(-E23*J23)*(G23*_xlfn.NORM.DIST(-L23,0,1,TRUE)-D23*_xlfn.NORM.DIST(-K23,0,1,TRUE))</f>
        <v>5180.6331119895449</v>
      </c>
      <c r="O23" s="3" t="b">
        <f>(M23-N23)=EXP(-E23*J23)*(D23-G23)</f>
        <v>1</v>
      </c>
    </row>
    <row r="24" spans="1:15" x14ac:dyDescent="0.3">
      <c r="A24" s="1">
        <v>45987</v>
      </c>
      <c r="B24" t="s">
        <v>17</v>
      </c>
      <c r="C24">
        <v>49559.07</v>
      </c>
      <c r="D24">
        <v>49580.64572</v>
      </c>
      <c r="E24" s="2">
        <v>5.4198157656173739E-3</v>
      </c>
      <c r="F24" s="1">
        <v>46031</v>
      </c>
      <c r="G24">
        <v>59470.884000000005</v>
      </c>
      <c r="H24">
        <v>0.264011</v>
      </c>
      <c r="J24" s="3">
        <f>(F24-A24)/365</f>
        <v>0.12054794520547946</v>
      </c>
      <c r="K24" s="3">
        <f>(LN(D24/G24)+H24^2*J24/2)/(H24*SQRT(J24))</f>
        <v>-1.9384252841048788</v>
      </c>
      <c r="L24" s="3">
        <f>K24-H24*SQRT(J24)</f>
        <v>-2.0300899433040116</v>
      </c>
      <c r="M24" s="3">
        <f>EXP(-E24*J24)*(D24*_xlfn.NORM.DIST(K24,0,1,TRUE)-G24*_xlfn.NORM.DIST(L24,0,1,TRUE))</f>
        <v>44.013592185350426</v>
      </c>
      <c r="N24" s="3">
        <f>EXP(-E24*J24)*(G24*_xlfn.NORM.DIST(-L24,0,1,TRUE)-D24*_xlfn.NORM.DIST(-K24,0,1,TRUE))</f>
        <v>9927.79221863776</v>
      </c>
      <c r="O24" s="3" t="b">
        <f>(M24-N24)=EXP(-E24*J24)*(D24-G24)</f>
        <v>1</v>
      </c>
    </row>
    <row r="25" spans="1:15" x14ac:dyDescent="0.3">
      <c r="A25" s="1">
        <v>45987</v>
      </c>
      <c r="B25" t="s">
        <v>17</v>
      </c>
      <c r="C25">
        <v>49559.07</v>
      </c>
      <c r="D25">
        <v>49580.64572</v>
      </c>
      <c r="E25" s="2">
        <v>5.4198157656173739E-3</v>
      </c>
      <c r="F25" s="1">
        <v>46031</v>
      </c>
      <c r="G25">
        <v>64426.790999999997</v>
      </c>
      <c r="H25">
        <v>0.30564400000000003</v>
      </c>
      <c r="J25" s="3">
        <f>(F25-A25)/365</f>
        <v>0.12054794520547946</v>
      </c>
      <c r="K25" s="3">
        <f>(LN(D25/G25)+H25^2*J25/2)/(H25*SQRT(J25))</f>
        <v>-2.4151826067925235</v>
      </c>
      <c r="L25" s="3">
        <f>K25-H25*SQRT(J25)</f>
        <v>-2.521302249899287</v>
      </c>
      <c r="M25" s="3">
        <f>EXP(-E25*J25)*(D25*_xlfn.NORM.DIST(K25,0,1,TRUE)-G25*_xlfn.NORM.DIST(L25,0,1,TRUE))</f>
        <v>13.233315297293439</v>
      </c>
      <c r="N25" s="3">
        <f>EXP(-E25*J25)*(G25*_xlfn.NORM.DIST(-L25,0,1,TRUE)-D25*_xlfn.NORM.DIST(-K25,0,1,TRUE))</f>
        <v>14849.682069054847</v>
      </c>
      <c r="O25" s="3" t="b">
        <f>(M25-N25)=EXP(-E25*J25)*(D25-G25)</f>
        <v>1</v>
      </c>
    </row>
    <row r="26" spans="1:15" x14ac:dyDescent="0.3">
      <c r="A26" s="1">
        <v>45987</v>
      </c>
      <c r="B26" t="s">
        <v>17</v>
      </c>
      <c r="C26">
        <v>49559.07</v>
      </c>
      <c r="D26">
        <v>49580.64572</v>
      </c>
      <c r="E26" s="2">
        <v>5.4198157656173739E-3</v>
      </c>
      <c r="F26" s="1">
        <v>46031</v>
      </c>
      <c r="G26">
        <v>69382.698000000004</v>
      </c>
      <c r="H26">
        <v>0.34636699999999998</v>
      </c>
      <c r="J26" s="3">
        <f>(F26-A26)/365</f>
        <v>0.12054794520547946</v>
      </c>
      <c r="K26" s="3">
        <f>(LN(D26/G26)+H26^2*J26/2)/(H26*SQRT(J26))</f>
        <v>-2.7341553833586989</v>
      </c>
      <c r="L26" s="3">
        <f>K26-H26*SQRT(J26)</f>
        <v>-2.8544140582352231</v>
      </c>
      <c r="M26" s="3">
        <f>EXP(-E26*J26)*(D26*_xlfn.NORM.DIST(K26,0,1,TRUE)-G26*_xlfn.NORM.DIST(L26,0,1,TRUE))</f>
        <v>5.4601624707419472</v>
      </c>
      <c r="N26" s="3">
        <f>EXP(-E26*J26)*(G26*_xlfn.NORM.DIST(-L26,0,1,TRUE)-D26*_xlfn.NORM.DIST(-K26,0,1,TRUE))</f>
        <v>19794.579043533449</v>
      </c>
      <c r="O26" s="3" t="b">
        <f>(M26-N26)=EXP(-E26*J26)*(D26-G26)</f>
        <v>1</v>
      </c>
    </row>
    <row r="27" spans="1:15" x14ac:dyDescent="0.3">
      <c r="A27" s="1">
        <v>45987</v>
      </c>
      <c r="B27" t="s">
        <v>17</v>
      </c>
      <c r="C27">
        <v>49559.07</v>
      </c>
      <c r="D27">
        <v>49580.64572</v>
      </c>
      <c r="E27" s="2">
        <v>5.4198157656173739E-3</v>
      </c>
      <c r="F27" s="1">
        <v>46031</v>
      </c>
      <c r="G27">
        <v>74338.604999999996</v>
      </c>
      <c r="H27">
        <v>0.384405</v>
      </c>
      <c r="J27" s="3">
        <f>(F27-A27)/365</f>
        <v>0.12054794520547946</v>
      </c>
      <c r="K27" s="3">
        <f>(LN(D27/G27)+H27^2*J27/2)/(H27*SQRT(J27))</f>
        <v>-2.967983555956323</v>
      </c>
      <c r="L27" s="3">
        <f>K27-H27*SQRT(J27)</f>
        <v>-3.1014490301958153</v>
      </c>
      <c r="M27" s="3">
        <f>EXP(-E27*J27)*(D27*_xlfn.NORM.DIST(K27,0,1,TRUE)-G27*_xlfn.NORM.DIST(L27,0,1,TRUE))</f>
        <v>2.7306138716876753</v>
      </c>
      <c r="N27" s="3">
        <f>EXP(-E27*J27)*(G27*_xlfn.NORM.DIST(-L27,0,1,TRUE)-D27*_xlfn.NORM.DIST(-K27,0,1,TRUE))</f>
        <v>24744.519622239546</v>
      </c>
      <c r="O27" s="3" t="b">
        <f>(M27-N27)=EXP(-E27*J27)*(D27-G27)</f>
        <v>1</v>
      </c>
    </row>
    <row r="28" spans="1:15" x14ac:dyDescent="0.3">
      <c r="A28" s="1">
        <v>45987</v>
      </c>
      <c r="B28" t="s">
        <v>17</v>
      </c>
      <c r="C28">
        <v>49559.07</v>
      </c>
      <c r="D28">
        <v>49624.107649999998</v>
      </c>
      <c r="E28" s="2">
        <v>5.9565268949695526E-3</v>
      </c>
      <c r="F28" s="1">
        <v>46066</v>
      </c>
      <c r="G28">
        <v>24779.535</v>
      </c>
      <c r="H28">
        <v>0.61564799999999997</v>
      </c>
      <c r="J28" s="3">
        <f>(F28-A28)/365</f>
        <v>0.21643835616438356</v>
      </c>
      <c r="K28" s="3">
        <f>(LN(D28/G28)+H28^2*J28/2)/(H28*SQRT(J28))</f>
        <v>2.5678461791753282</v>
      </c>
      <c r="L28" s="3">
        <f>K28-H28*SQRT(J28)</f>
        <v>2.2814286549715836</v>
      </c>
      <c r="M28" s="3">
        <f>EXP(-E28*J28)*(D28*_xlfn.NORM.DIST(K28,0,1,TRUE)-G28*_xlfn.NORM.DIST(L28,0,1,TRUE))</f>
        <v>24837.678560182354</v>
      </c>
      <c r="N28" s="3">
        <f>EXP(-E28*J28)*(G28*_xlfn.NORM.DIST(-L28,0,1,TRUE)-D28*_xlfn.NORM.DIST(-K28,0,1,TRUE))</f>
        <v>25.115414141680446</v>
      </c>
      <c r="O28" s="3" t="b">
        <f>(M28-N28)=EXP(-E28*J28)*(D28-G28)</f>
        <v>1</v>
      </c>
    </row>
    <row r="29" spans="1:15" x14ac:dyDescent="0.3">
      <c r="A29" s="1">
        <v>45987</v>
      </c>
      <c r="B29" t="s">
        <v>17</v>
      </c>
      <c r="C29">
        <v>49559.07</v>
      </c>
      <c r="D29">
        <v>49624.107649999998</v>
      </c>
      <c r="E29" s="2">
        <v>5.9565268949695526E-3</v>
      </c>
      <c r="F29" s="1">
        <v>46066</v>
      </c>
      <c r="G29">
        <v>29735.442000000003</v>
      </c>
      <c r="H29">
        <v>0.52888900000000005</v>
      </c>
      <c r="J29" s="3">
        <f>(F29-A29)/365</f>
        <v>0.21643835616438356</v>
      </c>
      <c r="K29" s="3">
        <f>(LN(D29/G29)+H29^2*J29/2)/(H29*SQRT(J29))</f>
        <v>2.2044226996542489</v>
      </c>
      <c r="L29" s="3">
        <f>K29-H29*SQRT(J29)</f>
        <v>1.9583680093789708</v>
      </c>
      <c r="M29" s="3">
        <f>EXP(-E29*J29)*(D29*_xlfn.NORM.DIST(K29,0,1,TRUE)-G29*_xlfn.NORM.DIST(L29,0,1,TRUE))</f>
        <v>19926.924638290147</v>
      </c>
      <c r="N29" s="3">
        <f>EXP(-E29*J29)*(G29*_xlfn.NORM.DIST(-L29,0,1,TRUE)-D29*_xlfn.NORM.DIST(-K29,0,1,TRUE))</f>
        <v>63.883350231809224</v>
      </c>
      <c r="O29" s="3" t="b">
        <f>(M29-N29)=EXP(-E29*J29)*(D29-G29)</f>
        <v>1</v>
      </c>
    </row>
    <row r="30" spans="1:15" x14ac:dyDescent="0.3">
      <c r="A30" s="1">
        <v>45987</v>
      </c>
      <c r="B30" t="s">
        <v>17</v>
      </c>
      <c r="C30">
        <v>49559.07</v>
      </c>
      <c r="D30">
        <v>49624.107649999998</v>
      </c>
      <c r="E30" s="2">
        <v>5.9565268949695526E-3</v>
      </c>
      <c r="F30" s="1">
        <v>46066</v>
      </c>
      <c r="G30">
        <v>34691.349000000002</v>
      </c>
      <c r="H30">
        <v>0.45155800000000001</v>
      </c>
      <c r="J30" s="3">
        <f>(F30-A30)/365</f>
        <v>0.21643835616438356</v>
      </c>
      <c r="K30" s="3">
        <f>(LN(D30/G30)+H30^2*J30/2)/(H30*SQRT(J30))</f>
        <v>1.8091029549215361</v>
      </c>
      <c r="L30" s="3">
        <f>K30-H30*SQRT(J30)</f>
        <v>1.5990249161812258</v>
      </c>
      <c r="M30" s="3">
        <f>EXP(-E30*J30)*(D30*_xlfn.NORM.DIST(K30,0,1,TRUE)-G30*_xlfn.NORM.DIST(L30,0,1,TRUE))</f>
        <v>15070.496057163196</v>
      </c>
      <c r="N30" s="3">
        <f>EXP(-E30*J30)*(G30*_xlfn.NORM.DIST(-L30,0,1,TRUE)-D30*_xlfn.NORM.DIST(-K30,0,1,TRUE))</f>
        <v>156.97662708718866</v>
      </c>
      <c r="O30" s="3" t="b">
        <f>(M30-N30)=EXP(-E30*J30)*(D30-G30)</f>
        <v>1</v>
      </c>
    </row>
    <row r="31" spans="1:15" x14ac:dyDescent="0.3">
      <c r="A31" s="1">
        <v>45987</v>
      </c>
      <c r="B31" t="s">
        <v>17</v>
      </c>
      <c r="C31">
        <v>49559.07</v>
      </c>
      <c r="D31">
        <v>49624.107649999998</v>
      </c>
      <c r="E31" s="2">
        <v>5.9565268949695526E-3</v>
      </c>
      <c r="F31" s="1">
        <v>46066</v>
      </c>
      <c r="G31">
        <v>39647.256000000001</v>
      </c>
      <c r="H31">
        <v>0.380938</v>
      </c>
      <c r="J31" s="3">
        <f>(F31-A31)/365</f>
        <v>0.21643835616438356</v>
      </c>
      <c r="K31" s="3">
        <f>(LN(D31/G31)+H31^2*J31/2)/(H31*SQRT(J31))</f>
        <v>1.3551196794923148</v>
      </c>
      <c r="L31" s="3">
        <f>K31-H31*SQRT(J31)</f>
        <v>1.1778961380609674</v>
      </c>
      <c r="M31" s="3">
        <f>EXP(-E31*J31)*(D31*_xlfn.NORM.DIST(K31,0,1,TRUE)-G31*_xlfn.NORM.DIST(L31,0,1,TRUE))</f>
        <v>10346.616085315351</v>
      </c>
      <c r="N31" s="3">
        <f>EXP(-E31*J31)*(G31*_xlfn.NORM.DIST(-L31,0,1,TRUE)-D31*_xlfn.NORM.DIST(-K31,0,1,TRUE))</f>
        <v>382.61851322166996</v>
      </c>
      <c r="O31" s="3" t="b">
        <f>(M31-N31)=EXP(-E31*J31)*(D31-G31)</f>
        <v>1</v>
      </c>
    </row>
    <row r="32" spans="1:15" x14ac:dyDescent="0.3">
      <c r="A32" s="1">
        <v>45987</v>
      </c>
      <c r="B32" t="s">
        <v>17</v>
      </c>
      <c r="C32">
        <v>49559.07</v>
      </c>
      <c r="D32">
        <v>49624.107649999998</v>
      </c>
      <c r="E32" s="2">
        <v>5.9565268949695526E-3</v>
      </c>
      <c r="F32" s="1">
        <v>46066</v>
      </c>
      <c r="G32">
        <v>44603.163</v>
      </c>
      <c r="H32">
        <v>0.31587399999999999</v>
      </c>
      <c r="J32" s="3">
        <f>(F32-A32)/365</f>
        <v>0.21643835616438356</v>
      </c>
      <c r="K32" s="3">
        <f>(LN(D32/G32)+H32^2*J32/2)/(H32*SQRT(J32))</f>
        <v>0.79936451271576381</v>
      </c>
      <c r="L32" s="3">
        <f>K32-H32*SQRT(J32)</f>
        <v>0.65241065427663347</v>
      </c>
      <c r="M32" s="3">
        <f>EXP(-E32*J32)*(D32*_xlfn.NORM.DIST(K32,0,1,TRUE)-G32*_xlfn.NORM.DIST(L32,0,1,TRUE))</f>
        <v>5957.0392070452581</v>
      </c>
      <c r="N32" s="3">
        <f>EXP(-E32*J32)*(G32*_xlfn.NORM.DIST(-L32,0,1,TRUE)-D32*_xlfn.NORM.DIST(-K32,0,1,TRUE))</f>
        <v>942.56349293391304</v>
      </c>
      <c r="O32" s="3" t="b">
        <f>(M32-N32)=EXP(-E32*J32)*(D32-G32)</f>
        <v>1</v>
      </c>
    </row>
    <row r="33" spans="1:15" x14ac:dyDescent="0.3">
      <c r="A33" s="1">
        <v>45987</v>
      </c>
      <c r="B33" t="s">
        <v>17</v>
      </c>
      <c r="C33">
        <v>49559.07</v>
      </c>
      <c r="D33">
        <v>49624.107649999998</v>
      </c>
      <c r="E33" s="2">
        <v>5.9565268949695526E-3</v>
      </c>
      <c r="F33" s="1">
        <v>46066</v>
      </c>
      <c r="G33">
        <v>47081.116500000004</v>
      </c>
      <c r="H33">
        <v>0.28580499999999998</v>
      </c>
      <c r="J33" s="3">
        <f>(F33-A33)/365</f>
        <v>0.21643835616438356</v>
      </c>
      <c r="K33" s="3">
        <f>(LN(D33/G33)+H33^2*J33/2)/(H33*SQRT(J33))</f>
        <v>0.4621114282955146</v>
      </c>
      <c r="L33" s="3">
        <f>K33-H33*SQRT(J33)</f>
        <v>0.32914655144209959</v>
      </c>
      <c r="M33" s="3">
        <f>EXP(-E33*J33)*(D33*_xlfn.NORM.DIST(K33,0,1,TRUE)-G33*_xlfn.NORM.DIST(L33,0,1,TRUE))</f>
        <v>4026.9500551798942</v>
      </c>
      <c r="N33" s="3">
        <f>EXP(-E33*J33)*(G33*_xlfn.NORM.DIST(-L33,0,1,TRUE)-D33*_xlfn.NORM.DIST(-K33,0,1,TRUE))</f>
        <v>1487.2352700597178</v>
      </c>
      <c r="O33" s="3" t="b">
        <f>(M33-N33)=EXP(-E33*J33)*(D33-G33)</f>
        <v>1</v>
      </c>
    </row>
    <row r="34" spans="1:15" x14ac:dyDescent="0.3">
      <c r="A34" s="1">
        <v>45987</v>
      </c>
      <c r="B34" t="s">
        <v>17</v>
      </c>
      <c r="C34">
        <v>49559.07</v>
      </c>
      <c r="D34">
        <v>49624.107649999998</v>
      </c>
      <c r="E34" s="2">
        <v>5.9565268949695526E-3</v>
      </c>
      <c r="F34" s="1">
        <v>46066</v>
      </c>
      <c r="G34">
        <v>49559.07</v>
      </c>
      <c r="H34">
        <v>0.258413</v>
      </c>
      <c r="J34" s="3">
        <f>(F34-A34)/365</f>
        <v>0.21643835616438356</v>
      </c>
      <c r="K34" s="3">
        <f>(LN(D34/G34)+H34^2*J34/2)/(H34*SQRT(J34))</f>
        <v>7.101941767808323E-2</v>
      </c>
      <c r="L34" s="3">
        <f>K34-H34*SQRT(J34)</f>
        <v>-4.9201896582764373E-2</v>
      </c>
      <c r="M34" s="3">
        <f>EXP(-E34*J34)*(D34*_xlfn.NORM.DIST(K34,0,1,TRUE)-G34*_xlfn.NORM.DIST(L34,0,1,TRUE))</f>
        <v>2406.6041684406896</v>
      </c>
      <c r="N34" s="3">
        <f>EXP(-E34*J34)*(G34*_xlfn.NORM.DIST(-L34,0,1,TRUE)-D34*_xlfn.NORM.DIST(-K34,0,1,TRUE))</f>
        <v>2341.6503123116709</v>
      </c>
      <c r="O34" s="3" t="b">
        <f>(M34-N34)=EXP(-E34*J34)*(D34-G34)</f>
        <v>1</v>
      </c>
    </row>
    <row r="35" spans="1:15" x14ac:dyDescent="0.3">
      <c r="A35" s="1">
        <v>45987</v>
      </c>
      <c r="B35" t="s">
        <v>17</v>
      </c>
      <c r="C35">
        <v>49559.07</v>
      </c>
      <c r="D35">
        <v>49624.107649999998</v>
      </c>
      <c r="E35" s="2">
        <v>5.9565268949695526E-3</v>
      </c>
      <c r="F35" s="1">
        <v>46066</v>
      </c>
      <c r="G35">
        <v>52037.023499999996</v>
      </c>
      <c r="H35">
        <v>0.235594</v>
      </c>
      <c r="J35" s="3">
        <f>(F35-A35)/365</f>
        <v>0.21643835616438356</v>
      </c>
      <c r="K35" s="3">
        <f>(LN(D35/G35)+H35^2*J35/2)/(H35*SQRT(J35))</f>
        <v>-0.37837645011665832</v>
      </c>
      <c r="L35" s="3">
        <f>K35-H35*SQRT(J35)</f>
        <v>-0.48798169564211613</v>
      </c>
      <c r="M35" s="3">
        <f>EXP(-E35*J35)*(D35*_xlfn.NORM.DIST(K35,0,1,TRUE)-G35*_xlfn.NORM.DIST(L35,0,1,TRUE))</f>
        <v>1218.4584733751976</v>
      </c>
      <c r="N35" s="3">
        <f>EXP(-E35*J35)*(G35*_xlfn.NORM.DIST(-L35,0,1,TRUE)-D35*_xlfn.NORM.DIST(-K35,0,1,TRUE))</f>
        <v>3628.2655462373368</v>
      </c>
      <c r="O35" s="3" t="b">
        <f>(M35-N35)=EXP(-E35*J35)*(D35-G35)</f>
        <v>1</v>
      </c>
    </row>
    <row r="36" spans="1:15" x14ac:dyDescent="0.3">
      <c r="A36" s="1">
        <v>45987</v>
      </c>
      <c r="B36" t="s">
        <v>17</v>
      </c>
      <c r="C36">
        <v>49559.07</v>
      </c>
      <c r="D36">
        <v>49624.107649999998</v>
      </c>
      <c r="E36" s="2">
        <v>5.9565268949695526E-3</v>
      </c>
      <c r="F36" s="1">
        <v>46066</v>
      </c>
      <c r="G36">
        <v>54514.976999999999</v>
      </c>
      <c r="H36">
        <v>0.22012300000000001</v>
      </c>
      <c r="J36" s="3">
        <f>(F36-A36)/365</f>
        <v>0.21643835616438356</v>
      </c>
      <c r="K36" s="3">
        <f>(LN(D36/G36)+H36^2*J36/2)/(H36*SQRT(J36))</f>
        <v>-0.86668349249534082</v>
      </c>
      <c r="L36" s="3">
        <f>K36-H36*SQRT(J36)</f>
        <v>-0.96909117461288352</v>
      </c>
      <c r="M36" s="3">
        <f>EXP(-E36*J36)*(D36*_xlfn.NORM.DIST(K36,0,1,TRUE)-G36*_xlfn.NORM.DIST(L36,0,1,TRUE))</f>
        <v>516.54425637781617</v>
      </c>
      <c r="N36" s="3">
        <f>EXP(-E36*J36)*(G36*_xlfn.NORM.DIST(-L36,0,1,TRUE)-D36*_xlfn.NORM.DIST(-K36,0,1,TRUE))</f>
        <v>5401.11225823112</v>
      </c>
      <c r="O36" s="3" t="b">
        <f>(M36-N36)=EXP(-E36*J36)*(D36-G36)</f>
        <v>0</v>
      </c>
    </row>
    <row r="37" spans="1:15" x14ac:dyDescent="0.3">
      <c r="A37" s="1">
        <v>45987</v>
      </c>
      <c r="B37" t="s">
        <v>17</v>
      </c>
      <c r="C37">
        <v>49559.07</v>
      </c>
      <c r="D37">
        <v>49624.107649999998</v>
      </c>
      <c r="E37" s="2">
        <v>5.9565268949695526E-3</v>
      </c>
      <c r="F37" s="1">
        <v>46066</v>
      </c>
      <c r="G37">
        <v>59470.884000000005</v>
      </c>
      <c r="H37">
        <v>0.21515100000000001</v>
      </c>
      <c r="J37" s="3">
        <f>(F37-A37)/365</f>
        <v>0.21643835616438356</v>
      </c>
      <c r="K37" s="3">
        <f>(LN(D37/G37)+H37^2*J37/2)/(H37*SQRT(J37))</f>
        <v>-1.7583435857837832</v>
      </c>
      <c r="L37" s="3">
        <f>K37-H37*SQRT(J37)</f>
        <v>-1.8584381475300407</v>
      </c>
      <c r="M37" s="3">
        <f>EXP(-E37*J37)*(D37*_xlfn.NORM.DIST(K37,0,1,TRUE)-G37*_xlfn.NORM.DIST(L37,0,1,TRUE))</f>
        <v>75.830345956592652</v>
      </c>
      <c r="N37" s="3">
        <f>EXP(-E37*J37)*(G37*_xlfn.NORM.DIST(-L37,0,1,TRUE)-D37*_xlfn.NORM.DIST(-K37,0,1,TRUE))</f>
        <v>9909.9202057922485</v>
      </c>
      <c r="O37" s="3" t="b">
        <f>(M37-N37)=EXP(-E37*J37)*(D37-G37)</f>
        <v>0</v>
      </c>
    </row>
    <row r="38" spans="1:15" x14ac:dyDescent="0.3">
      <c r="A38" s="1">
        <v>45987</v>
      </c>
      <c r="B38" t="s">
        <v>17</v>
      </c>
      <c r="C38">
        <v>49559.07</v>
      </c>
      <c r="D38">
        <v>49624.107649999998</v>
      </c>
      <c r="E38" s="2">
        <v>5.9565268949695526E-3</v>
      </c>
      <c r="F38" s="1">
        <v>46066</v>
      </c>
      <c r="G38">
        <v>64426.790999999997</v>
      </c>
      <c r="H38">
        <v>0.230437</v>
      </c>
      <c r="J38" s="3">
        <f>(F38-A38)/365</f>
        <v>0.21643835616438356</v>
      </c>
      <c r="K38" s="3">
        <f>(LN(D38/G38)+H38^2*J38/2)/(H38*SQRT(J38))</f>
        <v>-2.3814533894283558</v>
      </c>
      <c r="L38" s="3">
        <f>K38-H38*SQRT(J38)</f>
        <v>-2.4886594471511754</v>
      </c>
      <c r="M38" s="3">
        <f>EXP(-E38*J38)*(D38*_xlfn.NORM.DIST(K38,0,1,TRUE)-G38*_xlfn.NORM.DIST(L38,0,1,TRUE))</f>
        <v>14.793106652072597</v>
      </c>
      <c r="N38" s="3">
        <f>EXP(-E38*J38)*(G38*_xlfn.NORM.DIST(-L38,0,1,TRUE)-D38*_xlfn.NORM.DIST(-K38,0,1,TRUE))</f>
        <v>14798.404824470043</v>
      </c>
      <c r="O38" s="3" t="b">
        <f>(M38-N38)=EXP(-E38*J38)*(D38-G38)</f>
        <v>1</v>
      </c>
    </row>
    <row r="39" spans="1:15" x14ac:dyDescent="0.3">
      <c r="A39" s="1">
        <v>45987</v>
      </c>
      <c r="B39" t="s">
        <v>17</v>
      </c>
      <c r="C39">
        <v>49559.07</v>
      </c>
      <c r="D39">
        <v>49624.107649999998</v>
      </c>
      <c r="E39" s="2">
        <v>5.9565268949695526E-3</v>
      </c>
      <c r="F39" s="1">
        <v>46066</v>
      </c>
      <c r="G39">
        <v>69382.698000000004</v>
      </c>
      <c r="H39">
        <v>0.25140400000000002</v>
      </c>
      <c r="J39" s="3">
        <f>(F39-A39)/365</f>
        <v>0.21643835616438356</v>
      </c>
      <c r="K39" s="3">
        <f>(LN(D39/G39)+H39^2*J39/2)/(H39*SQRT(J39))</f>
        <v>-2.8071086255602835</v>
      </c>
      <c r="L39" s="3">
        <f>K39-H39*SQRT(J39)</f>
        <v>-2.9240691472462439</v>
      </c>
      <c r="M39" s="3">
        <f>EXP(-E39*J39)*(D39*_xlfn.NORM.DIST(K39,0,1,TRUE)-G39*_xlfn.NORM.DIST(L39,0,1,TRUE))</f>
        <v>4.1716162634380902</v>
      </c>
      <c r="N39" s="3">
        <f>EXP(-E39*J39)*(G39*_xlfn.NORM.DIST(-L39,0,1,TRUE)-D39*_xlfn.NORM.DIST(-K39,0,1,TRUE))</f>
        <v>19737.305192063763</v>
      </c>
      <c r="O39" s="3" t="b">
        <f>(M39-N39)=EXP(-E39*J39)*(D39-G39)</f>
        <v>1</v>
      </c>
    </row>
    <row r="40" spans="1:15" x14ac:dyDescent="0.3">
      <c r="A40" s="1">
        <v>45987</v>
      </c>
      <c r="B40" t="s">
        <v>17</v>
      </c>
      <c r="C40">
        <v>49559.07</v>
      </c>
      <c r="D40">
        <v>49624.107649999998</v>
      </c>
      <c r="E40" s="2">
        <v>5.9565268949695526E-3</v>
      </c>
      <c r="F40" s="1">
        <v>46066</v>
      </c>
      <c r="G40">
        <v>74338.604999999996</v>
      </c>
      <c r="H40">
        <v>0.27314500000000003</v>
      </c>
      <c r="J40" s="3">
        <f>(F40-A40)/365</f>
        <v>0.21643835616438356</v>
      </c>
      <c r="K40" s="3">
        <f>(LN(D40/G40)+H40^2*J40/2)/(H40*SQRT(J40))</f>
        <v>-3.1168945693143759</v>
      </c>
      <c r="L40" s="3">
        <f>K40-H40*SQRT(J40)</f>
        <v>-3.2439696424870847</v>
      </c>
      <c r="M40" s="3">
        <f>EXP(-E40*J40)*(D40*_xlfn.NORM.DIST(K40,0,1,TRUE)-G40*_xlfn.NORM.DIST(L40,0,1,TRUE))</f>
        <v>1.5324483607227777</v>
      </c>
      <c r="N40" s="3">
        <f>EXP(-E40*J40)*(G40*_xlfn.NORM.DIST(-L40,0,1,TRUE)-D40*_xlfn.NORM.DIST(-K40,0,1,TRUE))</f>
        <v>24684.187882143353</v>
      </c>
      <c r="O40" s="3" t="b">
        <f>(M40-N40)=EXP(-E40*J40)*(D40-G40)</f>
        <v>1</v>
      </c>
    </row>
    <row r="41" spans="1:15" x14ac:dyDescent="0.3">
      <c r="A41" s="1">
        <v>45987</v>
      </c>
      <c r="B41" t="s">
        <v>17</v>
      </c>
      <c r="C41">
        <v>49559.07</v>
      </c>
      <c r="D41">
        <v>49630.049980000003</v>
      </c>
      <c r="E41" s="2">
        <v>6.2356851540770145E-3</v>
      </c>
      <c r="F41" s="1">
        <v>46094</v>
      </c>
      <c r="G41">
        <v>24779.535</v>
      </c>
      <c r="H41">
        <v>0.55886800000000003</v>
      </c>
      <c r="J41" s="3">
        <f>(F41-A41)/365</f>
        <v>0.29315068493150687</v>
      </c>
      <c r="K41" s="3">
        <f>(LN(D41/G41)+H41^2*J41/2)/(H41*SQRT(J41))</f>
        <v>2.4467383186765224</v>
      </c>
      <c r="L41" s="3">
        <f>K41-H41*SQRT(J41)</f>
        <v>2.1441482291486924</v>
      </c>
      <c r="M41" s="3">
        <f>EXP(-E41*J41)*(D41*_xlfn.NORM.DIST(K41,0,1,TRUE)-G41*_xlfn.NORM.DIST(L41,0,1,TRUE))</f>
        <v>24844.069359634814</v>
      </c>
      <c r="N41" s="3">
        <f>EXP(-E41*J41)*(G41*_xlfn.NORM.DIST(-L41,0,1,TRUE)-D41*_xlfn.NORM.DIST(-K41,0,1,TRUE))</f>
        <v>38.939511514467036</v>
      </c>
      <c r="O41" s="3" t="b">
        <f>(M41-N41)=EXP(-E41*J41)*(D41-G41)</f>
        <v>1</v>
      </c>
    </row>
    <row r="42" spans="1:15" x14ac:dyDescent="0.3">
      <c r="A42" s="1">
        <v>45987</v>
      </c>
      <c r="B42" t="s">
        <v>17</v>
      </c>
      <c r="C42">
        <v>49559.07</v>
      </c>
      <c r="D42">
        <v>49630.049980000003</v>
      </c>
      <c r="E42" s="2">
        <v>6.2356851540770145E-3</v>
      </c>
      <c r="F42" s="1">
        <v>46094</v>
      </c>
      <c r="G42">
        <v>29735.442000000003</v>
      </c>
      <c r="H42">
        <v>0.48375299999999999</v>
      </c>
      <c r="J42" s="3">
        <f>(F42-A42)/365</f>
        <v>0.29315068493150687</v>
      </c>
      <c r="K42" s="3">
        <f>(LN(D42/G42)+H42^2*J42/2)/(H42*SQRT(J42))</f>
        <v>2.0867339625315671</v>
      </c>
      <c r="L42" s="3">
        <f>K42-H42*SQRT(J42)</f>
        <v>1.8248136815719194</v>
      </c>
      <c r="M42" s="3">
        <f>EXP(-E42*J42)*(D42*_xlfn.NORM.DIST(K42,0,1,TRUE)-G42*_xlfn.NORM.DIST(L42,0,1,TRUE))</f>
        <v>19953.561130413273</v>
      </c>
      <c r="N42" s="3">
        <f>EXP(-E42*J42)*(G42*_xlfn.NORM.DIST(-L42,0,1,TRUE)-D42*_xlfn.NORM.DIST(-K42,0,1,TRUE))</f>
        <v>95.287182428021779</v>
      </c>
      <c r="O42" s="3" t="b">
        <f>(M42-N42)=EXP(-E42*J42)*(D42-G42)</f>
        <v>1</v>
      </c>
    </row>
    <row r="43" spans="1:15" x14ac:dyDescent="0.3">
      <c r="A43" s="1">
        <v>45987</v>
      </c>
      <c r="B43" t="s">
        <v>17</v>
      </c>
      <c r="C43">
        <v>49559.07</v>
      </c>
      <c r="D43">
        <v>49630.049980000003</v>
      </c>
      <c r="E43" s="2">
        <v>6.2356851540770145E-3</v>
      </c>
      <c r="F43" s="1">
        <v>46094</v>
      </c>
      <c r="G43">
        <v>34691.349000000002</v>
      </c>
      <c r="H43">
        <v>0.41717199999999999</v>
      </c>
      <c r="J43" s="3">
        <f>(F43-A43)/365</f>
        <v>0.29315068493150687</v>
      </c>
      <c r="K43" s="3">
        <f>(LN(D43/G43)+H43^2*J43/2)/(H43*SQRT(J43))</f>
        <v>1.6983804969505114</v>
      </c>
      <c r="L43" s="3">
        <f>K43-H43*SQRT(J43)</f>
        <v>1.4725094275235555</v>
      </c>
      <c r="M43" s="3">
        <f>EXP(-E43*J43)*(D43*_xlfn.NORM.DIST(K43,0,1,TRUE)-G43*_xlfn.NORM.DIST(L43,0,1,TRUE))</f>
        <v>15135.369403434635</v>
      </c>
      <c r="N43" s="3">
        <f>EXP(-E43*J43)*(G43*_xlfn.NORM.DIST(-L43,0,1,TRUE)-D43*_xlfn.NORM.DIST(-K43,0,1,TRUE))</f>
        <v>223.95135558447754</v>
      </c>
      <c r="O43" s="3" t="b">
        <f>(M43-N43)=EXP(-E43*J43)*(D43-G43)</f>
        <v>1</v>
      </c>
    </row>
    <row r="44" spans="1:15" x14ac:dyDescent="0.3">
      <c r="A44" s="1">
        <v>45987</v>
      </c>
      <c r="B44" t="s">
        <v>17</v>
      </c>
      <c r="C44">
        <v>49559.07</v>
      </c>
      <c r="D44">
        <v>49630.049980000003</v>
      </c>
      <c r="E44" s="2">
        <v>6.2356851540770145E-3</v>
      </c>
      <c r="F44" s="1">
        <v>46094</v>
      </c>
      <c r="G44">
        <v>39647.256000000001</v>
      </c>
      <c r="H44">
        <v>0.35697099999999998</v>
      </c>
      <c r="J44" s="3">
        <f>(F44-A44)/365</f>
        <v>0.29315068493150687</v>
      </c>
      <c r="K44" s="3">
        <f>(LN(D44/G44)+H44^2*J44/2)/(H44*SQRT(J44))</f>
        <v>1.2585750059829057</v>
      </c>
      <c r="L44" s="3">
        <f>K44-H44*SQRT(J44)</f>
        <v>1.0652987997072931</v>
      </c>
      <c r="M44" s="3">
        <f>EXP(-E44*J44)*(D44*_xlfn.NORM.DIST(K44,0,1,TRUE)-G44*_xlfn.NORM.DIST(L44,0,1,TRUE))</f>
        <v>10481.769337345182</v>
      </c>
      <c r="N44" s="3">
        <f>EXP(-E44*J44)*(G44*_xlfn.NORM.DIST(-L44,0,1,TRUE)-D44*_xlfn.NORM.DIST(-K44,0,1,TRUE))</f>
        <v>517.20718963011814</v>
      </c>
      <c r="O44" s="3" t="b">
        <f>(M44-N44)=EXP(-E44*J44)*(D44-G44)</f>
        <v>1</v>
      </c>
    </row>
    <row r="45" spans="1:15" x14ac:dyDescent="0.3">
      <c r="A45" s="1">
        <v>45987</v>
      </c>
      <c r="B45" t="s">
        <v>17</v>
      </c>
      <c r="C45">
        <v>49559.07</v>
      </c>
      <c r="D45">
        <v>49630.049980000003</v>
      </c>
      <c r="E45" s="2">
        <v>6.2356851540770145E-3</v>
      </c>
      <c r="F45" s="1">
        <v>46094</v>
      </c>
      <c r="G45">
        <v>44603.163</v>
      </c>
      <c r="H45">
        <v>0.30252200000000001</v>
      </c>
      <c r="J45" s="3">
        <f>(F45-A45)/365</f>
        <v>0.29315068493150687</v>
      </c>
      <c r="K45" s="3">
        <f>(LN(D45/G45)+H45^2*J45/2)/(H45*SQRT(J45))</f>
        <v>0.73387917420929816</v>
      </c>
      <c r="L45" s="3">
        <f>K45-H45*SQRT(J45)</f>
        <v>0.57008350320265933</v>
      </c>
      <c r="M45" s="3">
        <f>EXP(-E45*J45)*(D45*_xlfn.NORM.DIST(K45,0,1,TRUE)-G45*_xlfn.NORM.DIST(L45,0,1,TRUE))</f>
        <v>6206.7677017309297</v>
      </c>
      <c r="N45" s="3">
        <f>EXP(-E45*J45)*(G45*_xlfn.NORM.DIST(-L45,0,1,TRUE)-D45*_xlfn.NORM.DIST(-K45,0,1,TRUE))</f>
        <v>1189.0614541509576</v>
      </c>
      <c r="O45" s="3" t="b">
        <f>(M45-N45)=EXP(-E45*J45)*(D45-G45)</f>
        <v>1</v>
      </c>
    </row>
    <row r="46" spans="1:15" x14ac:dyDescent="0.3">
      <c r="A46" s="1">
        <v>45987</v>
      </c>
      <c r="B46" t="s">
        <v>17</v>
      </c>
      <c r="C46">
        <v>49559.07</v>
      </c>
      <c r="D46">
        <v>49630.049980000003</v>
      </c>
      <c r="E46" s="2">
        <v>6.2356851540770145E-3</v>
      </c>
      <c r="F46" s="1">
        <v>46094</v>
      </c>
      <c r="G46">
        <v>47081.116500000004</v>
      </c>
      <c r="H46">
        <v>0.27792499999999998</v>
      </c>
      <c r="J46" s="3">
        <f>(F46-A46)/365</f>
        <v>0.29315068493150687</v>
      </c>
      <c r="K46" s="3">
        <f>(LN(D46/G46)+H46^2*J46/2)/(H46*SQRT(J46))</f>
        <v>0.42561908089524014</v>
      </c>
      <c r="L46" s="3">
        <f>K46-H46*SQRT(J46)</f>
        <v>0.27514105990992305</v>
      </c>
      <c r="M46" s="3">
        <f>EXP(-E46*J46)*(D46*_xlfn.NORM.DIST(K46,0,1,TRUE)-G46*_xlfn.NORM.DIST(L46,0,1,TRUE))</f>
        <v>4342.5072535685404</v>
      </c>
      <c r="N46" s="3">
        <f>EXP(-E46*J46)*(G46*_xlfn.NORM.DIST(-L46,0,1,TRUE)-D46*_xlfn.NORM.DIST(-K46,0,1,TRUE))</f>
        <v>1798.2289560561226</v>
      </c>
      <c r="O46" s="3" t="b">
        <f>(M46-N46)=EXP(-E46*J46)*(D46-G46)</f>
        <v>1</v>
      </c>
    </row>
    <row r="47" spans="1:15" x14ac:dyDescent="0.3">
      <c r="A47" s="1">
        <v>45987</v>
      </c>
      <c r="B47" t="s">
        <v>17</v>
      </c>
      <c r="C47">
        <v>49559.07</v>
      </c>
      <c r="D47">
        <v>49630.049980000003</v>
      </c>
      <c r="E47" s="2">
        <v>6.2356851540770145E-3</v>
      </c>
      <c r="F47" s="1">
        <v>46094</v>
      </c>
      <c r="G47">
        <v>49559.07</v>
      </c>
      <c r="H47">
        <v>0.255938</v>
      </c>
      <c r="J47" s="3">
        <f>(F47-A47)/365</f>
        <v>0.29315068493150687</v>
      </c>
      <c r="K47" s="3">
        <f>(LN(D47/G47)+H47^2*J47/2)/(H47*SQRT(J47))</f>
        <v>7.9614886290868964E-2</v>
      </c>
      <c r="L47" s="3">
        <f>K47-H47*SQRT(J47)</f>
        <v>-5.8958627192769036E-2</v>
      </c>
      <c r="M47" s="3">
        <f>EXP(-E47*J47)*(D47*_xlfn.NORM.DIST(K47,0,1,TRUE)-G47*_xlfn.NORM.DIST(L47,0,1,TRUE))</f>
        <v>2770.1032000387804</v>
      </c>
      <c r="N47" s="3">
        <f>EXP(-E47*J47)*(G47*_xlfn.NORM.DIST(-L47,0,1,TRUE)-D47*_xlfn.NORM.DIST(-K47,0,1,TRUE))</f>
        <v>2699.2528525939056</v>
      </c>
      <c r="O47" s="3" t="b">
        <f>(M47-N47)=EXP(-E47*J47)*(D47-G47)</f>
        <v>0</v>
      </c>
    </row>
    <row r="48" spans="1:15" x14ac:dyDescent="0.3">
      <c r="A48" s="1">
        <v>45987</v>
      </c>
      <c r="B48" t="s">
        <v>17</v>
      </c>
      <c r="C48">
        <v>49559.07</v>
      </c>
      <c r="D48">
        <v>49630.049980000003</v>
      </c>
      <c r="E48" s="2">
        <v>6.2356851540770145E-3</v>
      </c>
      <c r="F48" s="1">
        <v>46094</v>
      </c>
      <c r="G48">
        <v>52037.023499999996</v>
      </c>
      <c r="H48">
        <v>0.237814</v>
      </c>
      <c r="J48" s="3">
        <f>(F48-A48)/365</f>
        <v>0.29315068493150687</v>
      </c>
      <c r="K48" s="3">
        <f>(LN(D48/G48)+H48^2*J48/2)/(H48*SQRT(J48))</f>
        <v>-0.30342610981129231</v>
      </c>
      <c r="L48" s="3">
        <f>K48-H48*SQRT(J48)</f>
        <v>-0.4321866750091054</v>
      </c>
      <c r="M48" s="3">
        <f>EXP(-E48*J48)*(D48*_xlfn.NORM.DIST(K48,0,1,TRUE)-G48*_xlfn.NORM.DIST(L48,0,1,TRUE))</f>
        <v>1577.3014487935641</v>
      </c>
      <c r="N48" s="3">
        <f>EXP(-E48*J48)*(G48*_xlfn.NORM.DIST(-L48,0,1,TRUE)-D48*_xlfn.NORM.DIST(-K48,0,1,TRUE))</f>
        <v>3979.8790514162283</v>
      </c>
      <c r="O48" s="3" t="b">
        <f>(M48-N48)=EXP(-E48*J48)*(D48-G48)</f>
        <v>0</v>
      </c>
    </row>
    <row r="49" spans="1:15" x14ac:dyDescent="0.3">
      <c r="A49" s="1">
        <v>45987</v>
      </c>
      <c r="B49" t="s">
        <v>17</v>
      </c>
      <c r="C49">
        <v>49559.07</v>
      </c>
      <c r="D49">
        <v>49630.049980000003</v>
      </c>
      <c r="E49" s="2">
        <v>6.2356851540770145E-3</v>
      </c>
      <c r="F49" s="1">
        <v>46094</v>
      </c>
      <c r="G49">
        <v>54514.976999999999</v>
      </c>
      <c r="H49">
        <v>0.22511100000000001</v>
      </c>
      <c r="J49" s="3">
        <f>(F49-A49)/365</f>
        <v>0.29315068493150687</v>
      </c>
      <c r="K49" s="3">
        <f>(LN(D49/G49)+H49^2*J49/2)/(H49*SQRT(J49))</f>
        <v>-0.70929880327575179</v>
      </c>
      <c r="L49" s="3">
        <f>K49-H49*SQRT(J49)</f>
        <v>-0.83118153344405521</v>
      </c>
      <c r="M49" s="3">
        <f>EXP(-E49*J49)*(D49*_xlfn.NORM.DIST(K49,0,1,TRUE)-G49*_xlfn.NORM.DIST(L49,0,1,TRUE))</f>
        <v>800.54182848235087</v>
      </c>
      <c r="N49" s="3">
        <f>EXP(-E49*J49)*(G49*_xlfn.NORM.DIST(-L49,0,1,TRUE)-D49*_xlfn.NORM.DIST(-K49,0,1,TRUE))</f>
        <v>5676.5473811725687</v>
      </c>
      <c r="O49" s="3" t="b">
        <f>(M49-N49)=EXP(-E49*J49)*(D49-G49)</f>
        <v>1</v>
      </c>
    </row>
    <row r="50" spans="1:15" x14ac:dyDescent="0.3">
      <c r="A50" s="1">
        <v>45987</v>
      </c>
      <c r="B50" t="s">
        <v>17</v>
      </c>
      <c r="C50">
        <v>49559.07</v>
      </c>
      <c r="D50">
        <v>49630.049980000003</v>
      </c>
      <c r="E50" s="2">
        <v>6.2356851540770145E-3</v>
      </c>
      <c r="F50" s="1">
        <v>46094</v>
      </c>
      <c r="G50">
        <v>59470.884000000005</v>
      </c>
      <c r="H50">
        <v>0.218246</v>
      </c>
      <c r="J50" s="3">
        <f>(F50-A50)/365</f>
        <v>0.29315068493150687</v>
      </c>
      <c r="K50" s="3">
        <f>(LN(D50/G50)+H50^2*J50/2)/(H50*SQRT(J50))</f>
        <v>-1.4717354358976491</v>
      </c>
      <c r="L50" s="3">
        <f>K50-H50*SQRT(J50)</f>
        <v>-1.5899012222355515</v>
      </c>
      <c r="M50" s="3">
        <f>EXP(-E50*J50)*(D50*_xlfn.NORM.DIST(K50,0,1,TRUE)-G50*_xlfn.NORM.DIST(L50,0,1,TRUE))</f>
        <v>174.77055428378648</v>
      </c>
      <c r="N50" s="3">
        <f>EXP(-E50*J50)*(G50*_xlfn.NORM.DIST(-L50,0,1,TRUE)-D50*_xlfn.NORM.DIST(-K50,0,1,TRUE))</f>
        <v>9997.6320071091104</v>
      </c>
      <c r="O50" s="3" t="b">
        <f>(M50-N50)=EXP(-E50*J50)*(D50-G50)</f>
        <v>1</v>
      </c>
    </row>
    <row r="51" spans="1:15" x14ac:dyDescent="0.3">
      <c r="A51" s="1">
        <v>45987</v>
      </c>
      <c r="B51" t="s">
        <v>17</v>
      </c>
      <c r="C51">
        <v>49559.07</v>
      </c>
      <c r="D51">
        <v>49630.049980000003</v>
      </c>
      <c r="E51" s="2">
        <v>6.2356851540770145E-3</v>
      </c>
      <c r="F51" s="1">
        <v>46094</v>
      </c>
      <c r="G51">
        <v>64426.790999999997</v>
      </c>
      <c r="H51">
        <v>0.22822100000000001</v>
      </c>
      <c r="J51" s="3">
        <f>(F51-A51)/365</f>
        <v>0.29315068493150687</v>
      </c>
      <c r="K51" s="3">
        <f>(LN(D51/G51)+H51^2*J51/2)/(H51*SQRT(J51))</f>
        <v>-2.0498964077267101</v>
      </c>
      <c r="L51" s="3">
        <f>K51-H51*SQRT(J51)</f>
        <v>-2.1734629973724422</v>
      </c>
      <c r="M51" s="3">
        <f>EXP(-E51*J51)*(D51*_xlfn.NORM.DIST(K51,0,1,TRUE)-G51*_xlfn.NORM.DIST(L51,0,1,TRUE))</f>
        <v>43.612279011520364</v>
      </c>
      <c r="N51" s="3">
        <f>EXP(-E51*J51)*(G51*_xlfn.NORM.DIST(-L51,0,1,TRUE)-D51*_xlfn.NORM.DIST(-K51,0,1,TRUE))</f>
        <v>14813.329631971919</v>
      </c>
      <c r="O51" s="3" t="b">
        <f>(M51-N51)=EXP(-E51*J51)*(D51-G51)</f>
        <v>1</v>
      </c>
    </row>
    <row r="52" spans="1:15" x14ac:dyDescent="0.3">
      <c r="A52" s="1">
        <v>45987</v>
      </c>
      <c r="B52" t="s">
        <v>17</v>
      </c>
      <c r="C52">
        <v>49559.07</v>
      </c>
      <c r="D52">
        <v>49630.049980000003</v>
      </c>
      <c r="E52" s="2">
        <v>6.2356851540770145E-3</v>
      </c>
      <c r="F52" s="1">
        <v>46094</v>
      </c>
      <c r="G52">
        <v>69382.698000000004</v>
      </c>
      <c r="H52">
        <v>0.24452399999999999</v>
      </c>
      <c r="J52" s="3">
        <f>(F52-A52)/365</f>
        <v>0.29315068493150687</v>
      </c>
      <c r="K52" s="3">
        <f>(LN(D52/G52)+H52^2*J52/2)/(H52*SQRT(J52))</f>
        <v>-2.4644471720251819</v>
      </c>
      <c r="L52" s="3">
        <f>K52-H52*SQRT(J52)</f>
        <v>-2.5968407587964824</v>
      </c>
      <c r="M52" s="3">
        <f>EXP(-E52*J52)*(D52*_xlfn.NORM.DIST(K52,0,1,TRUE)-G52*_xlfn.NORM.DIST(L52,0,1,TRUE))</f>
        <v>14.102458660773957</v>
      </c>
      <c r="N52" s="3">
        <f>EXP(-E52*J52)*(G52*_xlfn.NORM.DIST(-L52,0,1,TRUE)-D52*_xlfn.NORM.DIST(-K52,0,1,TRUE))</f>
        <v>19730.675711756274</v>
      </c>
      <c r="O52" s="3" t="b">
        <f>(M52-N52)=EXP(-E52*J52)*(D52-G52)</f>
        <v>1</v>
      </c>
    </row>
    <row r="53" spans="1:15" x14ac:dyDescent="0.3">
      <c r="A53" s="1">
        <v>45987</v>
      </c>
      <c r="B53" t="s">
        <v>17</v>
      </c>
      <c r="C53">
        <v>49559.07</v>
      </c>
      <c r="D53">
        <v>49630.049980000003</v>
      </c>
      <c r="E53" s="2">
        <v>6.2356851540770145E-3</v>
      </c>
      <c r="F53" s="1">
        <v>46094</v>
      </c>
      <c r="G53">
        <v>74338.604999999996</v>
      </c>
      <c r="H53">
        <v>0.262432</v>
      </c>
      <c r="J53" s="3">
        <f>(F53-A53)/365</f>
        <v>0.29315068493150687</v>
      </c>
      <c r="K53" s="3">
        <f>(LN(D53/G53)+H53^2*J53/2)/(H53*SQRT(J53))</f>
        <v>-2.7724704584106434</v>
      </c>
      <c r="L53" s="3">
        <f>K53-H53*SQRT(J53)</f>
        <v>-2.9145600437420054</v>
      </c>
      <c r="M53" s="3">
        <f>EXP(-E53*J53)*(D53*_xlfn.NORM.DIST(K53,0,1,TRUE)-G53*_xlfn.NORM.DIST(L53,0,1,TRUE))</f>
        <v>5.6485795632234383</v>
      </c>
      <c r="N53" s="3">
        <f>EXP(-E53*J53)*(G53*_xlfn.NORM.DIST(-L53,0,1,TRUE)-D53*_xlfn.NORM.DIST(-K53,0,1,TRUE))</f>
        <v>24669.077732793805</v>
      </c>
      <c r="O53" s="3" t="b">
        <f>(M53-N53)=EXP(-E53*J53)*(D53-G53)</f>
        <v>1</v>
      </c>
    </row>
    <row r="54" spans="1:15" x14ac:dyDescent="0.3">
      <c r="A54" s="1">
        <v>45987</v>
      </c>
      <c r="B54" t="s">
        <v>17</v>
      </c>
      <c r="C54">
        <v>49559.07</v>
      </c>
      <c r="D54">
        <v>49399.54</v>
      </c>
      <c r="E54" s="2">
        <v>6.7988067654606837E-3</v>
      </c>
      <c r="F54" s="1">
        <v>46185</v>
      </c>
      <c r="G54">
        <v>24779.535</v>
      </c>
      <c r="H54">
        <v>0.49326300000000001</v>
      </c>
      <c r="J54" s="3">
        <f>(F54-A54)/365</f>
        <v>0.54246575342465753</v>
      </c>
      <c r="K54" s="3">
        <f>(LN(D54/G54)+H54^2*J54/2)/(H54*SQRT(J54))</f>
        <v>2.0806976190504578</v>
      </c>
      <c r="L54" s="3">
        <f>K54-H54*SQRT(J54)</f>
        <v>1.7173982004434776</v>
      </c>
      <c r="M54" s="3">
        <f>EXP(-E54*J54)*(D54*_xlfn.NORM.DIST(K54,0,1,TRUE)-G54*_xlfn.NORM.DIST(L54,0,1,TRUE))</f>
        <v>24667.926865265767</v>
      </c>
      <c r="N54" s="3">
        <f>EXP(-E54*J54)*(G54*_xlfn.NORM.DIST(-L54,0,1,TRUE)-D54*_xlfn.NORM.DIST(-K54,0,1,TRUE))</f>
        <v>138.55615623088718</v>
      </c>
      <c r="O54" s="3" t="b">
        <f>(M54-N54)=EXP(-E54*J54)*(D54-G54)</f>
        <v>1</v>
      </c>
    </row>
    <row r="55" spans="1:15" x14ac:dyDescent="0.3">
      <c r="A55" s="1">
        <v>45987</v>
      </c>
      <c r="B55" t="s">
        <v>17</v>
      </c>
      <c r="C55">
        <v>49559.07</v>
      </c>
      <c r="D55">
        <v>49399.54</v>
      </c>
      <c r="E55" s="2">
        <v>6.7988067654606837E-3</v>
      </c>
      <c r="F55" s="1">
        <v>46185</v>
      </c>
      <c r="G55">
        <v>29735.442000000003</v>
      </c>
      <c r="H55">
        <v>0.430253</v>
      </c>
      <c r="J55" s="3">
        <f>(F55-A55)/365</f>
        <v>0.54246575342465753</v>
      </c>
      <c r="K55" s="3">
        <f>(LN(D55/G55)+H55^2*J55/2)/(H55*SQRT(J55))</f>
        <v>1.7602621210093634</v>
      </c>
      <c r="L55" s="3">
        <f>K55-H55*SQRT(J55)</f>
        <v>1.4433710005444005</v>
      </c>
      <c r="M55" s="3">
        <f>EXP(-E55*J55)*(D55*_xlfn.NORM.DIST(K55,0,1,TRUE)-G55*_xlfn.NORM.DIST(L55,0,1,TRUE))</f>
        <v>19869.166903224464</v>
      </c>
      <c r="N55" s="3">
        <f>EXP(-E55*J55)*(G55*_xlfn.NORM.DIST(-L55,0,1,TRUE)-D55*_xlfn.NORM.DIST(-K55,0,1,TRUE))</f>
        <v>277.45887957494097</v>
      </c>
      <c r="O55" s="3" t="b">
        <f>(M55-N55)=EXP(-E55*J55)*(D55-G55)</f>
        <v>1</v>
      </c>
    </row>
    <row r="56" spans="1:15" x14ac:dyDescent="0.3">
      <c r="A56" s="1">
        <v>45987</v>
      </c>
      <c r="B56" t="s">
        <v>17</v>
      </c>
      <c r="C56">
        <v>49559.07</v>
      </c>
      <c r="D56">
        <v>49399.54</v>
      </c>
      <c r="E56" s="2">
        <v>6.7988067654606837E-3</v>
      </c>
      <c r="F56" s="1">
        <v>46185</v>
      </c>
      <c r="G56">
        <v>34691.349000000002</v>
      </c>
      <c r="H56">
        <v>0.37478400000000001</v>
      </c>
      <c r="J56" s="3">
        <f>(F56-A56)/365</f>
        <v>0.54246575342465753</v>
      </c>
      <c r="K56" s="3">
        <f>(LN(D56/G56)+H56^2*J56/2)/(H56*SQRT(J56))</f>
        <v>1.4184658061703419</v>
      </c>
      <c r="L56" s="3">
        <f>K56-H56*SQRT(J56)</f>
        <v>1.1424288658297965</v>
      </c>
      <c r="M56" s="3">
        <f>EXP(-E56*J56)*(D56*_xlfn.NORM.DIST(K56,0,1,TRUE)-G56*_xlfn.NORM.DIST(L56,0,1,TRUE))</f>
        <v>15190.783649872663</v>
      </c>
      <c r="N56" s="3">
        <f>EXP(-E56*J56)*(G56*_xlfn.NORM.DIST(-L56,0,1,TRUE)-D56*_xlfn.NORM.DIST(-K56,0,1,TRUE))</f>
        <v>536.73831160849988</v>
      </c>
      <c r="O56" s="3" t="b">
        <f>(M56-N56)=EXP(-E56*J56)*(D56-G56)</f>
        <v>1</v>
      </c>
    </row>
    <row r="57" spans="1:15" x14ac:dyDescent="0.3">
      <c r="A57" s="1">
        <v>45987</v>
      </c>
      <c r="B57" t="s">
        <v>17</v>
      </c>
      <c r="C57">
        <v>49559.07</v>
      </c>
      <c r="D57">
        <v>49399.54</v>
      </c>
      <c r="E57" s="2">
        <v>6.7988067654606837E-3</v>
      </c>
      <c r="F57" s="1">
        <v>46185</v>
      </c>
      <c r="G57">
        <v>39647.256000000001</v>
      </c>
      <c r="H57">
        <v>0.32522099999999998</v>
      </c>
      <c r="J57" s="3">
        <f>(F57-A57)/365</f>
        <v>0.54246575342465753</v>
      </c>
      <c r="K57" s="3">
        <f>(LN(D57/G57)+H57^2*J57/2)/(H57*SQRT(J57))</f>
        <v>1.0378848422773495</v>
      </c>
      <c r="L57" s="3">
        <f>K57-H57*SQRT(J57)</f>
        <v>0.79835217873116671</v>
      </c>
      <c r="M57" s="3">
        <f>EXP(-E57*J57)*(D57*_xlfn.NORM.DIST(K57,0,1,TRUE)-G57*_xlfn.NORM.DIST(L57,0,1,TRUE))</f>
        <v>10737.806435170323</v>
      </c>
      <c r="N57" s="3">
        <f>EXP(-E57*J57)*(G57*_xlfn.NORM.DIST(-L57,0,1,TRUE)-D57*_xlfn.NORM.DIST(-K57,0,1,TRUE))</f>
        <v>1021.4237822915195</v>
      </c>
      <c r="O57" s="3" t="b">
        <f>(M57-N57)=EXP(-E57*J57)*(D57-G57)</f>
        <v>0</v>
      </c>
    </row>
    <row r="58" spans="1:15" x14ac:dyDescent="0.3">
      <c r="A58" s="1">
        <v>45987</v>
      </c>
      <c r="B58" t="s">
        <v>17</v>
      </c>
      <c r="C58">
        <v>49559.07</v>
      </c>
      <c r="D58">
        <v>49399.54</v>
      </c>
      <c r="E58" s="2">
        <v>6.7988067654606837E-3</v>
      </c>
      <c r="F58" s="1">
        <v>46185</v>
      </c>
      <c r="G58">
        <v>44603.163</v>
      </c>
      <c r="H58">
        <v>0.28133200000000003</v>
      </c>
      <c r="J58" s="3">
        <f>(F58-A58)/365</f>
        <v>0.54246575342465753</v>
      </c>
      <c r="K58" s="3">
        <f>(LN(D58/G58)+H58^2*J58/2)/(H58*SQRT(J58))</f>
        <v>0.59652205172527639</v>
      </c>
      <c r="L58" s="3">
        <f>K58-H58*SQRT(J58)</f>
        <v>0.38931463492016638</v>
      </c>
      <c r="M58" s="3">
        <f>EXP(-E58*J58)*(D58*_xlfn.NORM.DIST(K58,0,1,TRUE)-G58*_xlfn.NORM.DIST(L58,0,1,TRUE))</f>
        <v>6711.4605565678867</v>
      </c>
      <c r="N58" s="3">
        <f>EXP(-E58*J58)*(G58*_xlfn.NORM.DIST(-L58,0,1,TRUE)-D58*_xlfn.NORM.DIST(-K58,0,1,TRUE))</f>
        <v>1932.7405890744351</v>
      </c>
      <c r="O58" s="3" t="b">
        <f>(M58-N58)=EXP(-E58*J58)*(D58-G58)</f>
        <v>1</v>
      </c>
    </row>
    <row r="59" spans="1:15" x14ac:dyDescent="0.3">
      <c r="A59" s="1">
        <v>45987</v>
      </c>
      <c r="B59" t="s">
        <v>17</v>
      </c>
      <c r="C59">
        <v>49559.07</v>
      </c>
      <c r="D59">
        <v>49399.54</v>
      </c>
      <c r="E59" s="2">
        <v>6.7988067654606837E-3</v>
      </c>
      <c r="F59" s="1">
        <v>46185</v>
      </c>
      <c r="G59">
        <v>47081.116500000004</v>
      </c>
      <c r="H59">
        <v>0.26199099999999997</v>
      </c>
      <c r="J59" s="3">
        <f>(F59-A59)/365</f>
        <v>0.54246575342465753</v>
      </c>
      <c r="K59" s="3">
        <f>(LN(D59/G59)+H59^2*J59/2)/(H59*SQRT(J59))</f>
        <v>0.34559256039191966</v>
      </c>
      <c r="L59" s="3">
        <f>K59-H59*SQRT(J59)</f>
        <v>0.15263022999158282</v>
      </c>
      <c r="M59" s="3">
        <f>EXP(-E59*J59)*(D59*_xlfn.NORM.DIST(K59,0,1,TRUE)-G59*_xlfn.NORM.DIST(L59,0,1,TRUE))</f>
        <v>4962.7758525693907</v>
      </c>
      <c r="N59" s="3">
        <f>EXP(-E59*J59)*(G59*_xlfn.NORM.DIST(-L59,0,1,TRUE)-D59*_xlfn.NORM.DIST(-K59,0,1,TRUE))</f>
        <v>2652.8872277686182</v>
      </c>
      <c r="O59" s="3" t="b">
        <f>(M59-N59)=EXP(-E59*J59)*(D59-G59)</f>
        <v>1</v>
      </c>
    </row>
    <row r="60" spans="1:15" x14ac:dyDescent="0.3">
      <c r="A60" s="1">
        <v>45987</v>
      </c>
      <c r="B60" t="s">
        <v>17</v>
      </c>
      <c r="C60">
        <v>49559.07</v>
      </c>
      <c r="D60">
        <v>49399.54</v>
      </c>
      <c r="E60" s="2">
        <v>6.7988067654606837E-3</v>
      </c>
      <c r="F60" s="1">
        <v>46185</v>
      </c>
      <c r="G60">
        <v>49559.07</v>
      </c>
      <c r="H60">
        <v>0.24503900000000001</v>
      </c>
      <c r="J60" s="3">
        <f>(F60-A60)/365</f>
        <v>0.54246575342465753</v>
      </c>
      <c r="K60" s="3">
        <f>(LN(D60/G60)+H60^2*J60/2)/(H60*SQRT(J60))</f>
        <v>7.2373614141221732E-2</v>
      </c>
      <c r="L60" s="3">
        <f>K60-H60*SQRT(J60)</f>
        <v>-0.10810318269137228</v>
      </c>
      <c r="M60" s="3">
        <f>EXP(-E60*J60)*(D60*_xlfn.NORM.DIST(K60,0,1,TRUE)-G60*_xlfn.NORM.DIST(L60,0,1,TRUE))</f>
        <v>3465.6680690377093</v>
      </c>
      <c r="N60" s="3">
        <f>EXP(-E60*J60)*(G60*_xlfn.NORM.DIST(-L60,0,1,TRUE)-D60*_xlfn.NORM.DIST(-K60,0,1,TRUE))</f>
        <v>3624.6107869296115</v>
      </c>
      <c r="O60" s="3" t="b">
        <f>(M60-N60)=EXP(-E60*J60)*(D60-G60)</f>
        <v>0</v>
      </c>
    </row>
    <row r="61" spans="1:15" x14ac:dyDescent="0.3">
      <c r="A61" s="1">
        <v>45987</v>
      </c>
      <c r="B61" t="s">
        <v>17</v>
      </c>
      <c r="C61">
        <v>49559.07</v>
      </c>
      <c r="D61">
        <v>49399.54</v>
      </c>
      <c r="E61" s="2">
        <v>6.7988067654606837E-3</v>
      </c>
      <c r="F61" s="1">
        <v>46185</v>
      </c>
      <c r="G61">
        <v>52037.023499999996</v>
      </c>
      <c r="H61">
        <v>0.23125599999999999</v>
      </c>
      <c r="J61" s="3">
        <f>(F61-A61)/365</f>
        <v>0.54246575342465753</v>
      </c>
      <c r="K61" s="3">
        <f>(LN(D61/G61)+H61^2*J61/2)/(H61*SQRT(J61))</f>
        <v>-0.22021970782202854</v>
      </c>
      <c r="L61" s="3">
        <f>K61-H61*SQRT(J61)</f>
        <v>-0.39054501166475708</v>
      </c>
      <c r="M61" s="3">
        <f>EXP(-E61*J61)*(D61*_xlfn.NORM.DIST(K61,0,1,TRUE)-G61*_xlfn.NORM.DIST(L61,0,1,TRUE))</f>
        <v>2273.8399368373489</v>
      </c>
      <c r="N61" s="3">
        <f>EXP(-E61*J61)*(G61*_xlfn.NORM.DIST(-L61,0,1,TRUE)-D61*_xlfn.NORM.DIST(-K61,0,1,TRUE))</f>
        <v>4901.6139974219368</v>
      </c>
      <c r="O61" s="3" t="b">
        <f>(M61-N61)=EXP(-E61*J61)*(D61-G61)</f>
        <v>0</v>
      </c>
    </row>
    <row r="62" spans="1:15" x14ac:dyDescent="0.3">
      <c r="A62" s="1">
        <v>45987</v>
      </c>
      <c r="B62" t="s">
        <v>17</v>
      </c>
      <c r="C62">
        <v>49559.07</v>
      </c>
      <c r="D62">
        <v>49399.54</v>
      </c>
      <c r="E62" s="2">
        <v>6.7988067654606837E-3</v>
      </c>
      <c r="F62" s="1">
        <v>46185</v>
      </c>
      <c r="G62">
        <v>54514.976999999999</v>
      </c>
      <c r="H62">
        <v>0.22145699999999999</v>
      </c>
      <c r="J62" s="3">
        <f>(F62-A62)/365</f>
        <v>0.54246575342465753</v>
      </c>
      <c r="K62" s="3">
        <f>(LN(D62/G62)+H62^2*J62/2)/(H62*SQRT(J62))</f>
        <v>-0.52255050930484204</v>
      </c>
      <c r="L62" s="3">
        <f>K62-H62*SQRT(J62)</f>
        <v>-0.68565862677249323</v>
      </c>
      <c r="M62" s="3">
        <f>EXP(-E62*J62)*(D62*_xlfn.NORM.DIST(K62,0,1,TRUE)-G62*_xlfn.NORM.DIST(L62,0,1,TRUE))</f>
        <v>1410.4510165908744</v>
      </c>
      <c r="N62" s="3">
        <f>EXP(-E62*J62)*(G62*_xlfn.NORM.DIST(-L62,0,1,TRUE)-D62*_xlfn.NORM.DIST(-K62,0,1,TRUE))</f>
        <v>6507.0564198681404</v>
      </c>
      <c r="O62" s="3" t="b">
        <f>(M62-N62)=EXP(-E62*J62)*(D62-G62)</f>
        <v>0</v>
      </c>
    </row>
    <row r="63" spans="1:15" x14ac:dyDescent="0.3">
      <c r="A63" s="1">
        <v>45987</v>
      </c>
      <c r="B63" t="s">
        <v>17</v>
      </c>
      <c r="C63">
        <v>49559.07</v>
      </c>
      <c r="D63">
        <v>49399.54</v>
      </c>
      <c r="E63" s="2">
        <v>6.7988067654606837E-3</v>
      </c>
      <c r="F63" s="1">
        <v>46185</v>
      </c>
      <c r="G63">
        <v>59470.884000000005</v>
      </c>
      <c r="H63">
        <v>0.21474699999999999</v>
      </c>
      <c r="J63" s="3">
        <f>(F63-A63)/365</f>
        <v>0.54246575342465753</v>
      </c>
      <c r="K63" s="3">
        <f>(LN(D63/G63)+H63^2*J63/2)/(H63*SQRT(J63))</f>
        <v>-1.0940242001140867</v>
      </c>
      <c r="L63" s="3">
        <f>K63-H63*SQRT(J63)</f>
        <v>-1.2521902499649638</v>
      </c>
      <c r="M63" s="3">
        <f>EXP(-E63*J63)*(D63*_xlfn.NORM.DIST(K63,0,1,TRUE)-G63*_xlfn.NORM.DIST(L63,0,1,TRUE))</f>
        <v>505.16940014549687</v>
      </c>
      <c r="N63" s="3">
        <f>EXP(-E63*J63)*(G63*_xlfn.NORM.DIST(-L63,0,1,TRUE)-D63*_xlfn.NORM.DIST(-K63,0,1,TRUE))</f>
        <v>10539.43748880812</v>
      </c>
      <c r="O63" s="3" t="b">
        <f>(M63-N63)=EXP(-E63*J63)*(D63-G63)</f>
        <v>1</v>
      </c>
    </row>
    <row r="64" spans="1:15" x14ac:dyDescent="0.3">
      <c r="A64" s="1">
        <v>45987</v>
      </c>
      <c r="B64" t="s">
        <v>17</v>
      </c>
      <c r="C64">
        <v>49559.07</v>
      </c>
      <c r="D64">
        <v>49399.54</v>
      </c>
      <c r="E64" s="2">
        <v>6.7988067654606837E-3</v>
      </c>
      <c r="F64" s="1">
        <v>46185</v>
      </c>
      <c r="G64">
        <v>64426.790999999997</v>
      </c>
      <c r="H64">
        <v>0.22075900000000001</v>
      </c>
      <c r="J64" s="3">
        <f>(F64-A64)/365</f>
        <v>0.54246575342465753</v>
      </c>
      <c r="K64" s="3">
        <f>(LN(D64/G64)+H64^2*J64/2)/(H64*SQRT(J64))</f>
        <v>-1.5521482768296908</v>
      </c>
      <c r="L64" s="3">
        <f>K64-H64*SQRT(J64)</f>
        <v>-1.7147423014215584</v>
      </c>
      <c r="M64" s="3">
        <f>EXP(-E64*J64)*(D64*_xlfn.NORM.DIST(K64,0,1,TRUE)-G64*_xlfn.NORM.DIST(L64,0,1,TRUE))</f>
        <v>195.73446282680734</v>
      </c>
      <c r="N64" s="3">
        <f>EXP(-E64*J64)*(G64*_xlfn.NORM.DIST(-L64,0,1,TRUE)-D64*_xlfn.NORM.DIST(-K64,0,1,TRUE))</f>
        <v>15167.665236874776</v>
      </c>
      <c r="O64" s="3" t="b">
        <f>(M64-N64)=EXP(-E64*J64)*(D64-G64)</f>
        <v>1</v>
      </c>
    </row>
    <row r="65" spans="1:15" x14ac:dyDescent="0.3">
      <c r="A65" s="1">
        <v>45987</v>
      </c>
      <c r="B65" t="s">
        <v>17</v>
      </c>
      <c r="C65">
        <v>49559.07</v>
      </c>
      <c r="D65">
        <v>49399.54</v>
      </c>
      <c r="E65" s="2">
        <v>6.7988067654606837E-3</v>
      </c>
      <c r="F65" s="1">
        <v>46185</v>
      </c>
      <c r="G65">
        <v>69382.698000000004</v>
      </c>
      <c r="H65">
        <v>0.23266000000000001</v>
      </c>
      <c r="J65" s="3">
        <f>(F65-A65)/365</f>
        <v>0.54246575342465753</v>
      </c>
      <c r="K65" s="3">
        <f>(LN(D65/G65)+H65^2*J65/2)/(H65*SQRT(J65))</f>
        <v>-1.8966828278260863</v>
      </c>
      <c r="L65" s="3">
        <f>K65-H65*SQRT(J65)</f>
        <v>-2.0680422096023396</v>
      </c>
      <c r="M65" s="3">
        <f>EXP(-E65*J65)*(D65*_xlfn.NORM.DIST(K65,0,1,TRUE)-G65*_xlfn.NORM.DIST(L65,0,1,TRUE))</f>
        <v>88.706430215893263</v>
      </c>
      <c r="N65" s="3">
        <f>EXP(-E65*J65)*(G65*_xlfn.NORM.DIST(-L65,0,1,TRUE)-D65*_xlfn.NORM.DIST(-K65,0,1,TRUE))</f>
        <v>19998.299889649235</v>
      </c>
      <c r="O65" s="3" t="b">
        <f>(M65-N65)=EXP(-E65*J65)*(D65-G65)</f>
        <v>1</v>
      </c>
    </row>
    <row r="66" spans="1:15" x14ac:dyDescent="0.3">
      <c r="A66" s="1">
        <v>45987</v>
      </c>
      <c r="B66" t="s">
        <v>17</v>
      </c>
      <c r="C66">
        <v>49559.07</v>
      </c>
      <c r="D66">
        <v>49399.54</v>
      </c>
      <c r="E66" s="2">
        <v>6.7988067654606837E-3</v>
      </c>
      <c r="F66" s="1">
        <v>46185</v>
      </c>
      <c r="G66">
        <v>74338.604999999996</v>
      </c>
      <c r="H66">
        <v>0.24659800000000001</v>
      </c>
      <c r="J66" s="3">
        <f>(F66-A66)/365</f>
        <v>0.54246575342465753</v>
      </c>
      <c r="K66" s="3">
        <f>(LN(D66/G66)+H66^2*J66/2)/(H66*SQRT(J66))</f>
        <v>-2.1593689362695021</v>
      </c>
      <c r="L66" s="3">
        <f>K66-H66*SQRT(J66)</f>
        <v>-2.3409939720610455</v>
      </c>
      <c r="M66" s="3">
        <f>EXP(-E66*J66)*(D66*_xlfn.NORM.DIST(K66,0,1,TRUE)-G66*_xlfn.NORM.DIST(L66,0,1,TRUE))</f>
        <v>46.256646996128502</v>
      </c>
      <c r="N66" s="3">
        <f>EXP(-E66*J66)*(G66*_xlfn.NORM.DIST(-L66,0,1,TRUE)-D66*_xlfn.NORM.DIST(-K66,0,1,TRUE))</f>
        <v>24893.512791814817</v>
      </c>
      <c r="O66" s="3" t="b">
        <f>(M66-N66)=EXP(-E66*J66)*(D66-G66)</f>
        <v>1</v>
      </c>
    </row>
    <row r="67" spans="1:15" x14ac:dyDescent="0.3">
      <c r="A67" s="1">
        <v>45987</v>
      </c>
      <c r="B67" t="s">
        <v>17</v>
      </c>
      <c r="C67">
        <v>49559.07</v>
      </c>
      <c r="D67">
        <v>49451.028100000003</v>
      </c>
      <c r="E67" s="2">
        <v>7.2795137207244997E-3</v>
      </c>
      <c r="F67" s="1">
        <v>46276</v>
      </c>
      <c r="G67">
        <v>24779.535</v>
      </c>
      <c r="H67">
        <v>0.44673099999999999</v>
      </c>
      <c r="J67" s="3">
        <f>(F67-A67)/365</f>
        <v>0.79178082191780819</v>
      </c>
      <c r="K67" s="3">
        <f>(LN(D67/G67)+H67^2*J67/2)/(H67*SQRT(J67))</f>
        <v>1.936985493077942</v>
      </c>
      <c r="L67" s="3">
        <f>K67-H67*SQRT(J67)</f>
        <v>1.5394750160614392</v>
      </c>
      <c r="M67" s="3">
        <f>EXP(-E67*J67)*(D67*_xlfn.NORM.DIST(K67,0,1,TRUE)-G67*_xlfn.NORM.DIST(L67,0,1,TRUE))</f>
        <v>24756.659766416229</v>
      </c>
      <c r="N67" s="3">
        <f>EXP(-E67*J67)*(G67*_xlfn.NORM.DIST(-L67,0,1,TRUE)-D67*_xlfn.NORM.DIST(-K67,0,1,TRUE))</f>
        <v>226.95868754814828</v>
      </c>
      <c r="O67" s="3" t="b">
        <f>(M67-N67)=EXP(-E67*J67)*(D67-G67)</f>
        <v>1</v>
      </c>
    </row>
    <row r="68" spans="1:15" x14ac:dyDescent="0.3">
      <c r="A68" s="1">
        <v>45987</v>
      </c>
      <c r="B68" t="s">
        <v>17</v>
      </c>
      <c r="C68">
        <v>49559.07</v>
      </c>
      <c r="D68">
        <v>49451.028100000003</v>
      </c>
      <c r="E68" s="2">
        <v>7.2795137207244997E-3</v>
      </c>
      <c r="F68" s="1">
        <v>46276</v>
      </c>
      <c r="G68">
        <v>29735.442000000003</v>
      </c>
      <c r="H68">
        <v>0.39350099999999999</v>
      </c>
      <c r="J68" s="3">
        <f>(F68-A68)/365</f>
        <v>0.79178082191780819</v>
      </c>
      <c r="K68" s="3">
        <f>(LN(D68/G68)+H68^2*J68/2)/(H68*SQRT(J68))</f>
        <v>1.6277357349756574</v>
      </c>
      <c r="L68" s="3">
        <f>K68-H68*SQRT(J68)</f>
        <v>1.2775904121382655</v>
      </c>
      <c r="M68" s="3">
        <f>EXP(-E68*J68)*(D68*_xlfn.NORM.DIST(K68,0,1,TRUE)-G68*_xlfn.NORM.DIST(L68,0,1,TRUE))</f>
        <v>20032.963383265163</v>
      </c>
      <c r="N68" s="3">
        <f>EXP(-E68*J68)*(G68*_xlfn.NORM.DIST(-L68,0,1,TRUE)-D68*_xlfn.NORM.DIST(-K68,0,1,TRUE))</f>
        <v>430.68671247515897</v>
      </c>
      <c r="O68" s="3" t="b">
        <f>(M68-N68)=EXP(-E68*J68)*(D68-G68)</f>
        <v>1</v>
      </c>
    </row>
    <row r="69" spans="1:15" x14ac:dyDescent="0.3">
      <c r="A69" s="1">
        <v>45987</v>
      </c>
      <c r="B69" t="s">
        <v>17</v>
      </c>
      <c r="C69">
        <v>49559.07</v>
      </c>
      <c r="D69">
        <v>49451.028100000003</v>
      </c>
      <c r="E69" s="2">
        <v>7.2795137207244997E-3</v>
      </c>
      <c r="F69" s="1">
        <v>46276</v>
      </c>
      <c r="G69">
        <v>34691.349000000002</v>
      </c>
      <c r="H69">
        <v>0.34704299999999999</v>
      </c>
      <c r="J69" s="3">
        <f>(F69-A69)/365</f>
        <v>0.79178082191780819</v>
      </c>
      <c r="K69" s="3">
        <f>(LN(D69/G69)+H69^2*J69/2)/(H69*SQRT(J69))</f>
        <v>1.3023485290169203</v>
      </c>
      <c r="L69" s="3">
        <f>K69-H69*SQRT(J69)</f>
        <v>0.99354249479221202</v>
      </c>
      <c r="M69" s="3">
        <f>EXP(-E69*J69)*(D69*_xlfn.NORM.DIST(K69,0,1,TRUE)-G69*_xlfn.NORM.DIST(L69,0,1,TRUE))</f>
        <v>15461.638695708989</v>
      </c>
      <c r="N69" s="3">
        <f>EXP(-E69*J69)*(G69*_xlfn.NORM.DIST(-L69,0,1,TRUE)-D69*_xlfn.NORM.DIST(-K69,0,1,TRUE))</f>
        <v>786.786432997063</v>
      </c>
      <c r="O69" s="3" t="b">
        <f>(M69-N69)=EXP(-E69*J69)*(D69-G69)</f>
        <v>1</v>
      </c>
    </row>
    <row r="70" spans="1:15" x14ac:dyDescent="0.3">
      <c r="A70" s="1">
        <v>45987</v>
      </c>
      <c r="B70" t="s">
        <v>17</v>
      </c>
      <c r="C70">
        <v>49559.07</v>
      </c>
      <c r="D70">
        <v>49451.028100000003</v>
      </c>
      <c r="E70" s="2">
        <v>7.2795137207244997E-3</v>
      </c>
      <c r="F70" s="1">
        <v>46276</v>
      </c>
      <c r="G70">
        <v>39647.256000000001</v>
      </c>
      <c r="H70">
        <v>0.30608299999999999</v>
      </c>
      <c r="J70" s="3">
        <f>(F70-A70)/365</f>
        <v>0.79178082191780819</v>
      </c>
      <c r="K70" s="3">
        <f>(LN(D70/G70)+H70^2*J70/2)/(H70*SQRT(J70))</f>
        <v>0.94746578814649407</v>
      </c>
      <c r="L70" s="3">
        <f>K70-H70*SQRT(J70)</f>
        <v>0.67510680849958749</v>
      </c>
      <c r="M70" s="3">
        <f>EXP(-E70*J70)*(D70*_xlfn.NORM.DIST(K70,0,1,TRUE)-G70*_xlfn.NORM.DIST(L70,0,1,TRUE))</f>
        <v>11152.56871236358</v>
      </c>
      <c r="N70" s="3">
        <f>EXP(-E70*J70)*(G70*_xlfn.NORM.DIST(-L70,0,1,TRUE)-D70*_xlfn.NORM.DIST(-K70,0,1,TRUE))</f>
        <v>1405.1408577297311</v>
      </c>
      <c r="O70" s="3" t="b">
        <f>(M70-N70)=EXP(-E70*J70)*(D70-G70)</f>
        <v>1</v>
      </c>
    </row>
    <row r="71" spans="1:15" x14ac:dyDescent="0.3">
      <c r="A71" s="1">
        <v>45987</v>
      </c>
      <c r="B71" t="s">
        <v>17</v>
      </c>
      <c r="C71">
        <v>49559.07</v>
      </c>
      <c r="D71">
        <v>49451.028100000003</v>
      </c>
      <c r="E71" s="2">
        <v>7.2795137207244997E-3</v>
      </c>
      <c r="F71" s="1">
        <v>46276</v>
      </c>
      <c r="G71">
        <v>44603.163</v>
      </c>
      <c r="H71">
        <v>0.27051500000000001</v>
      </c>
      <c r="J71" s="3">
        <f>(F71-A71)/365</f>
        <v>0.79178082191780819</v>
      </c>
      <c r="K71" s="3">
        <f>(LN(D71/G71)+H71^2*J71/2)/(H71*SQRT(J71))</f>
        <v>0.54899578211884625</v>
      </c>
      <c r="L71" s="3">
        <f>K71-H71*SQRT(J71)</f>
        <v>0.30828594400571041</v>
      </c>
      <c r="M71" s="3">
        <f>EXP(-E71*J71)*(D71*_xlfn.NORM.DIST(K71,0,1,TRUE)-G71*_xlfn.NORM.DIST(L71,0,1,TRUE))</f>
        <v>7292.1153105911117</v>
      </c>
      <c r="N71" s="3">
        <f>EXP(-E71*J71)*(G71*_xlfn.NORM.DIST(-L71,0,1,TRUE)-D71*_xlfn.NORM.DIST(-K71,0,1,TRUE))</f>
        <v>2472.1118640353357</v>
      </c>
      <c r="O71" s="3" t="b">
        <f>(M71-N71)=EXP(-E71*J71)*(D71-G71)</f>
        <v>0</v>
      </c>
    </row>
    <row r="72" spans="1:15" x14ac:dyDescent="0.3">
      <c r="A72" s="1">
        <v>45987</v>
      </c>
      <c r="B72" t="s">
        <v>17</v>
      </c>
      <c r="C72">
        <v>49559.07</v>
      </c>
      <c r="D72">
        <v>49451.028100000003</v>
      </c>
      <c r="E72" s="2">
        <v>7.2795137207244997E-3</v>
      </c>
      <c r="F72" s="1">
        <v>46276</v>
      </c>
      <c r="G72">
        <v>47081.116500000004</v>
      </c>
      <c r="H72">
        <v>0.25510699999999997</v>
      </c>
      <c r="J72" s="3">
        <f>(F72-A72)/365</f>
        <v>0.79178082191780819</v>
      </c>
      <c r="K72" s="3">
        <f>(LN(D72/G72)+H72^2*J72/2)/(H72*SQRT(J72))</f>
        <v>0.32984759840526945</v>
      </c>
      <c r="L72" s="3">
        <f>K72-H72*SQRT(J72)</f>
        <v>0.10284811715089268</v>
      </c>
      <c r="M72" s="3">
        <f>EXP(-E72*J72)*(D72*_xlfn.NORM.DIST(K72,0,1,TRUE)-G72*_xlfn.NORM.DIST(L72,0,1,TRUE))</f>
        <v>5615.3087130254926</v>
      </c>
      <c r="N72" s="3">
        <f>EXP(-E72*J72)*(G72*_xlfn.NORM.DIST(-L72,0,1,TRUE)-D72*_xlfn.NORM.DIST(-K72,0,1,TRUE))</f>
        <v>3259.0174705087616</v>
      </c>
      <c r="O72" s="3" t="b">
        <f>(M72-N72)=EXP(-E72*J72)*(D72-G72)</f>
        <v>1</v>
      </c>
    </row>
    <row r="73" spans="1:15" x14ac:dyDescent="0.3">
      <c r="A73" s="1">
        <v>45987</v>
      </c>
      <c r="B73" t="s">
        <v>17</v>
      </c>
      <c r="C73">
        <v>49559.07</v>
      </c>
      <c r="D73">
        <v>49451.028100000003</v>
      </c>
      <c r="E73" s="2">
        <v>7.2795137207244997E-3</v>
      </c>
      <c r="F73" s="1">
        <v>46276</v>
      </c>
      <c r="G73">
        <v>49559.07</v>
      </c>
      <c r="H73">
        <v>0.24169399999999999</v>
      </c>
      <c r="J73" s="3">
        <f>(F73-A73)/365</f>
        <v>0.79178082191780819</v>
      </c>
      <c r="K73" s="3">
        <f>(LN(D73/G73)+H73^2*J73/2)/(H73*SQRT(J73))</f>
        <v>9.7384296802050144E-2</v>
      </c>
      <c r="L73" s="3">
        <f>K73-H73*SQRT(J73)</f>
        <v>-0.11768001982703234</v>
      </c>
      <c r="M73" s="3">
        <f>EXP(-E73*J73)*(D73*_xlfn.NORM.DIST(K73,0,1,TRUE)-G73*_xlfn.NORM.DIST(L73,0,1,TRUE))</f>
        <v>4161.4167863705352</v>
      </c>
      <c r="N73" s="3">
        <f>EXP(-E73*J73)*(G73*_xlfn.NORM.DIST(-L73,0,1,TRUE)-D73*_xlfn.NORM.DIST(-K73,0,1,TRUE))</f>
        <v>4268.8377478928387</v>
      </c>
      <c r="O73" s="3" t="b">
        <f>(M73-N73)=EXP(-E73*J73)*(D73-G73)</f>
        <v>0</v>
      </c>
    </row>
    <row r="74" spans="1:15" x14ac:dyDescent="0.3">
      <c r="A74" s="1">
        <v>45987</v>
      </c>
      <c r="B74" t="s">
        <v>17</v>
      </c>
      <c r="C74">
        <v>49559.07</v>
      </c>
      <c r="D74">
        <v>49451.028100000003</v>
      </c>
      <c r="E74" s="2">
        <v>7.2795137207244997E-3</v>
      </c>
      <c r="F74" s="1">
        <v>46276</v>
      </c>
      <c r="G74">
        <v>52037.023499999996</v>
      </c>
      <c r="H74">
        <v>0.23069600000000001</v>
      </c>
      <c r="J74" s="3">
        <f>(F74-A74)/365</f>
        <v>0.79178082191780819</v>
      </c>
      <c r="K74" s="3">
        <f>(LN(D74/G74)+H74^2*J74/2)/(H74*SQRT(J74))</f>
        <v>-0.14567101317317052</v>
      </c>
      <c r="L74" s="3">
        <f>K74-H74*SQRT(J74)</f>
        <v>-0.35094908209115283</v>
      </c>
      <c r="M74" s="3">
        <f>EXP(-E74*J74)*(D74*_xlfn.NORM.DIST(K74,0,1,TRUE)-G74*_xlfn.NORM.DIST(L74,0,1,TRUE))</f>
        <v>2964.9706901553745</v>
      </c>
      <c r="N74" s="3">
        <f>EXP(-E74*J74)*(G74*_xlfn.NORM.DIST(-L74,0,1,TRUE)-D74*_xlfn.NORM.DIST(-K74,0,1,TRUE))</f>
        <v>5536.1038557167085</v>
      </c>
      <c r="O74" s="3" t="b">
        <f>(M74-N74)=EXP(-E74*J74)*(D74-G74)</f>
        <v>0</v>
      </c>
    </row>
    <row r="75" spans="1:15" x14ac:dyDescent="0.3">
      <c r="A75" s="1">
        <v>45987</v>
      </c>
      <c r="B75" t="s">
        <v>17</v>
      </c>
      <c r="C75">
        <v>49559.07</v>
      </c>
      <c r="D75">
        <v>49451.028100000003</v>
      </c>
      <c r="E75" s="2">
        <v>7.2795137207244997E-3</v>
      </c>
      <c r="F75" s="1">
        <v>46276</v>
      </c>
      <c r="G75">
        <v>54514.976999999999</v>
      </c>
      <c r="H75">
        <v>0.22251299999999999</v>
      </c>
      <c r="J75" s="3">
        <f>(F75-A75)/365</f>
        <v>0.79178082191780819</v>
      </c>
      <c r="K75" s="3">
        <f>(LN(D75/G75)+H75^2*J75/2)/(H75*SQRT(J75))</f>
        <v>-0.39339694034281353</v>
      </c>
      <c r="L75" s="3">
        <f>K75-H75*SQRT(J75)</f>
        <v>-0.59139360673125108</v>
      </c>
      <c r="M75" s="3">
        <f>EXP(-E75*J75)*(D75*_xlfn.NORM.DIST(K75,0,1,TRUE)-G75*_xlfn.NORM.DIST(L75,0,1,TRUE))</f>
        <v>2040.7153014271134</v>
      </c>
      <c r="N75" s="3">
        <f>EXP(-E75*J75)*(G75*_xlfn.NORM.DIST(-L75,0,1,TRUE)-D75*_xlfn.NORM.DIST(-K75,0,1,TRUE))</f>
        <v>7075.5606710274969</v>
      </c>
      <c r="O75" s="3" t="b">
        <f>(M75-N75)=EXP(-E75*J75)*(D75-G75)</f>
        <v>1</v>
      </c>
    </row>
    <row r="76" spans="1:15" x14ac:dyDescent="0.3">
      <c r="A76" s="1">
        <v>45987</v>
      </c>
      <c r="B76" t="s">
        <v>17</v>
      </c>
      <c r="C76">
        <v>49559.07</v>
      </c>
      <c r="D76">
        <v>49451.028100000003</v>
      </c>
      <c r="E76" s="2">
        <v>7.2795137207244997E-3</v>
      </c>
      <c r="F76" s="1">
        <v>46276</v>
      </c>
      <c r="G76">
        <v>59470.884000000005</v>
      </c>
      <c r="H76">
        <v>0.215063</v>
      </c>
      <c r="J76" s="3">
        <f>(F76-A76)/365</f>
        <v>0.79178082191780819</v>
      </c>
      <c r="K76" s="3">
        <f>(LN(D76/G76)+H76^2*J76/2)/(H76*SQRT(J76))</f>
        <v>-0.8684506884101828</v>
      </c>
      <c r="L76" s="3">
        <f>K76-H76*SQRT(J76)</f>
        <v>-1.0598181908190154</v>
      </c>
      <c r="M76" s="3">
        <f>EXP(-E76*J76)*(D76*_xlfn.NORM.DIST(K76,0,1,TRUE)-G76*_xlfn.NORM.DIST(L76,0,1,TRUE))</f>
        <v>917.36882585223236</v>
      </c>
      <c r="N76" s="3">
        <f>EXP(-E76*J76)*(G76*_xlfn.NORM.DIST(-L76,0,1,TRUE)-D76*_xlfn.NORM.DIST(-K76,0,1,TRUE))</f>
        <v>10879.638603530695</v>
      </c>
      <c r="O76" s="3" t="b">
        <f>(M76-N76)=EXP(-E76*J76)*(D76-G76)</f>
        <v>1</v>
      </c>
    </row>
    <row r="77" spans="1:15" x14ac:dyDescent="0.3">
      <c r="A77" s="1">
        <v>45987</v>
      </c>
      <c r="B77" t="s">
        <v>17</v>
      </c>
      <c r="C77">
        <v>49559.07</v>
      </c>
      <c r="D77">
        <v>49451.028100000003</v>
      </c>
      <c r="E77" s="2">
        <v>7.2795137207244997E-3</v>
      </c>
      <c r="F77" s="1">
        <v>46276</v>
      </c>
      <c r="G77">
        <v>64426.790999999997</v>
      </c>
      <c r="H77">
        <v>0.217305</v>
      </c>
      <c r="J77" s="3">
        <f>(F77-A77)/365</f>
        <v>0.79178082191780819</v>
      </c>
      <c r="K77" s="3">
        <f>(LN(D77/G77)+H77^2*J77/2)/(H77*SQRT(J77))</f>
        <v>-1.2714575367681376</v>
      </c>
      <c r="L77" s="3">
        <f>K77-H77*SQRT(J77)</f>
        <v>-1.4648200171155303</v>
      </c>
      <c r="M77" s="3">
        <f>EXP(-E77*J77)*(D77*_xlfn.NORM.DIST(K77,0,1,TRUE)-G77*_xlfn.NORM.DIST(L77,0,1,TRUE))</f>
        <v>425.26383719185901</v>
      </c>
      <c r="N77" s="3">
        <f>EXP(-E77*J77)*(G77*_xlfn.NORM.DIST(-L77,0,1,TRUE)-D77*_xlfn.NORM.DIST(-K77,0,1,TRUE))</f>
        <v>15314.958022948389</v>
      </c>
      <c r="O77" s="3" t="b">
        <f>(M77-N77)=EXP(-E77*J77)*(D77-G77)</f>
        <v>1</v>
      </c>
    </row>
    <row r="78" spans="1:15" x14ac:dyDescent="0.3">
      <c r="A78" s="1">
        <v>45987</v>
      </c>
      <c r="B78" t="s">
        <v>17</v>
      </c>
      <c r="C78">
        <v>49559.07</v>
      </c>
      <c r="D78">
        <v>49451.028100000003</v>
      </c>
      <c r="E78" s="2">
        <v>7.2795137207244997E-3</v>
      </c>
      <c r="F78" s="1">
        <v>46276</v>
      </c>
      <c r="G78">
        <v>69382.698000000004</v>
      </c>
      <c r="H78">
        <v>0.22505800000000001</v>
      </c>
      <c r="J78" s="3">
        <f>(F78-A78)/365</f>
        <v>0.79178082191780819</v>
      </c>
      <c r="K78" s="3">
        <f>(LN(D78/G78)+H78^2*J78/2)/(H78*SQRT(J78))</f>
        <v>-1.5909337303331357</v>
      </c>
      <c r="L78" s="3">
        <f>K78-H78*SQRT(J78)</f>
        <v>-1.7911949903226598</v>
      </c>
      <c r="M78" s="3">
        <f>EXP(-E78*J78)*(D78*_xlfn.NORM.DIST(K78,0,1,TRUE)-G78*_xlfn.NORM.DIST(L78,0,1,TRUE))</f>
        <v>217.15968270140681</v>
      </c>
      <c r="N78" s="3">
        <f>EXP(-E78*J78)*(G78*_xlfn.NORM.DIST(-L78,0,1,TRUE)-D78*_xlfn.NORM.DIST(-K78,0,1,TRUE))</f>
        <v>20034.278276536024</v>
      </c>
      <c r="O78" s="3" t="b">
        <f>(M78-N78)=EXP(-E78*J78)*(D78-G78)</f>
        <v>1</v>
      </c>
    </row>
    <row r="79" spans="1:15" x14ac:dyDescent="0.3">
      <c r="A79" s="1">
        <v>45987</v>
      </c>
      <c r="B79" t="s">
        <v>17</v>
      </c>
      <c r="C79">
        <v>49559.07</v>
      </c>
      <c r="D79">
        <v>49451.028100000003</v>
      </c>
      <c r="E79" s="2">
        <v>7.2795137207244997E-3</v>
      </c>
      <c r="F79" s="1">
        <v>46276</v>
      </c>
      <c r="G79">
        <v>74338.604999999996</v>
      </c>
      <c r="H79">
        <v>0.235287</v>
      </c>
      <c r="J79" s="3">
        <f>(F79-A79)/365</f>
        <v>0.79178082191780819</v>
      </c>
      <c r="K79" s="3">
        <f>(LN(D79/G79)+H79^2*J79/2)/(H79*SQRT(J79))</f>
        <v>-1.8424011631274058</v>
      </c>
      <c r="L79" s="3">
        <f>K79-H79*SQRT(J79)</f>
        <v>-2.0517643987340279</v>
      </c>
      <c r="M79" s="3">
        <f>EXP(-E79*J79)*(D79*_xlfn.NORM.DIST(K79,0,1,TRUE)-G79*_xlfn.NORM.DIST(L79,0,1,TRUE))</f>
        <v>122.81685603278149</v>
      </c>
      <c r="N79" s="3">
        <f>EXP(-E79*J79)*(G79*_xlfn.NORM.DIST(-L79,0,1,TRUE)-D79*_xlfn.NORM.DIST(-K79,0,1,TRUE))</f>
        <v>24867.359857945463</v>
      </c>
      <c r="O79" s="3" t="b">
        <f>(M79-N79)=EXP(-E79*J79)*(D79-G79)</f>
        <v>1</v>
      </c>
    </row>
    <row r="80" spans="1:15" x14ac:dyDescent="0.3">
      <c r="A80" s="1">
        <v>45987</v>
      </c>
      <c r="B80" t="s">
        <v>17</v>
      </c>
      <c r="C80">
        <v>49559.07</v>
      </c>
      <c r="D80">
        <v>49264.58236</v>
      </c>
      <c r="E80" s="2">
        <v>7.7640990591341967E-3</v>
      </c>
      <c r="F80" s="1">
        <v>46367</v>
      </c>
      <c r="G80">
        <v>24779.535</v>
      </c>
      <c r="H80">
        <v>0.41573199999999999</v>
      </c>
      <c r="J80" s="3">
        <f>(F80-A80)/365</f>
        <v>1.0410958904109588</v>
      </c>
      <c r="K80" s="3">
        <f>(LN(D80/G80)+H80^2*J80/2)/(H80*SQRT(J80))</f>
        <v>1.8320990291370782</v>
      </c>
      <c r="L80" s="3">
        <f>K80-H80*SQRT(J80)</f>
        <v>1.4079105971998438</v>
      </c>
      <c r="M80" s="3">
        <f>EXP(-E80*J80)*(D80*_xlfn.NORM.DIST(K80,0,1,TRUE)-G80*_xlfn.NORM.DIST(L80,0,1,TRUE))</f>
        <v>24608.44842673176</v>
      </c>
      <c r="N80" s="3">
        <f>EXP(-E80*J80)*(G80*_xlfn.NORM.DIST(-L80,0,1,TRUE)-D80*_xlfn.NORM.DIST(-K80,0,1,TRUE))</f>
        <v>320.52015974160713</v>
      </c>
      <c r="O80" s="3" t="b">
        <f>(M80-N80)=EXP(-E80*J80)*(D80-G80)</f>
        <v>1</v>
      </c>
    </row>
    <row r="81" spans="1:15" x14ac:dyDescent="0.3">
      <c r="A81" s="1">
        <v>45987</v>
      </c>
      <c r="B81" t="s">
        <v>17</v>
      </c>
      <c r="C81">
        <v>49559.07</v>
      </c>
      <c r="D81">
        <v>49264.58236</v>
      </c>
      <c r="E81" s="2">
        <v>7.7640990591341967E-3</v>
      </c>
      <c r="F81" s="1">
        <v>46367</v>
      </c>
      <c r="G81">
        <v>29735.442000000003</v>
      </c>
      <c r="H81">
        <v>0.36882799999999999</v>
      </c>
      <c r="J81" s="3">
        <f>(F81-A81)/365</f>
        <v>1.0410958904109588</v>
      </c>
      <c r="K81" s="3">
        <f>(LN(D81/G81)+H81^2*J81/2)/(H81*SQRT(J81))</f>
        <v>1.5297145327393777</v>
      </c>
      <c r="L81" s="3">
        <f>K81-H81*SQRT(J81)</f>
        <v>1.1533841781490495</v>
      </c>
      <c r="M81" s="3">
        <f>EXP(-E81*J81)*(D81*_xlfn.NORM.DIST(K81,0,1,TRUE)-G81*_xlfn.NORM.DIST(L81,0,1,TRUE))</f>
        <v>19959.713308683382</v>
      </c>
      <c r="N81" s="3">
        <f>EXP(-E81*J81)*(G81*_xlfn.NORM.DIST(-L81,0,1,TRUE)-D81*_xlfn.NORM.DIST(-K81,0,1,TRUE))</f>
        <v>587.79406320383032</v>
      </c>
      <c r="O81" s="3" t="b">
        <f>(M81-N81)=EXP(-E81*J81)*(D81-G81)</f>
        <v>0</v>
      </c>
    </row>
    <row r="82" spans="1:15" x14ac:dyDescent="0.3">
      <c r="A82" s="1">
        <v>45987</v>
      </c>
      <c r="B82" t="s">
        <v>17</v>
      </c>
      <c r="C82">
        <v>49559.07</v>
      </c>
      <c r="D82">
        <v>49264.58236</v>
      </c>
      <c r="E82" s="2">
        <v>7.7640990591341967E-3</v>
      </c>
      <c r="F82" s="1">
        <v>46367</v>
      </c>
      <c r="G82">
        <v>34691.349000000002</v>
      </c>
      <c r="H82">
        <v>0.328181</v>
      </c>
      <c r="J82" s="3">
        <f>(F82-A82)/365</f>
        <v>1.0410958904109588</v>
      </c>
      <c r="K82" s="3">
        <f>(LN(D82/G82)+H82^2*J82/2)/(H82*SQRT(J82))</f>
        <v>1.2147874013808282</v>
      </c>
      <c r="L82" s="3">
        <f>K82-H82*SQRT(J82)</f>
        <v>0.87993085008914618</v>
      </c>
      <c r="M82" s="3">
        <f>EXP(-E82*J82)*(D82*_xlfn.NORM.DIST(K82,0,1,TRUE)-G82*_xlfn.NORM.DIST(L82,0,1,TRUE))</f>
        <v>15491.080448057593</v>
      </c>
      <c r="N82" s="3">
        <f>EXP(-E82*J82)*(G82*_xlfn.NORM.DIST(-L82,0,1,TRUE)-D82*_xlfn.NORM.DIST(-K82,0,1,TRUE))</f>
        <v>1035.1702240886468</v>
      </c>
      <c r="O82" s="3" t="b">
        <f>(M82-N82)=EXP(-E82*J82)*(D82-G82)</f>
        <v>1</v>
      </c>
    </row>
    <row r="83" spans="1:15" x14ac:dyDescent="0.3">
      <c r="A83" s="1">
        <v>45987</v>
      </c>
      <c r="B83" t="s">
        <v>17</v>
      </c>
      <c r="C83">
        <v>49559.07</v>
      </c>
      <c r="D83">
        <v>49264.58236</v>
      </c>
      <c r="E83" s="2">
        <v>7.7640990591341967E-3</v>
      </c>
      <c r="F83" s="1">
        <v>46367</v>
      </c>
      <c r="G83">
        <v>39647.256000000001</v>
      </c>
      <c r="H83">
        <v>0.29272500000000001</v>
      </c>
      <c r="J83" s="3">
        <f>(F83-A83)/365</f>
        <v>1.0410958904109588</v>
      </c>
      <c r="K83" s="3">
        <f>(LN(D83/G83)+H83^2*J83/2)/(H83*SQRT(J83))</f>
        <v>0.8764862917575249</v>
      </c>
      <c r="L83" s="3">
        <f>K83-H83*SQRT(J83)</f>
        <v>0.57780695329229492</v>
      </c>
      <c r="M83" s="3">
        <f>EXP(-E83*J83)*(D83*_xlfn.NORM.DIST(K83,0,1,TRUE)-G83*_xlfn.NORM.DIST(L83,0,1,TRUE))</f>
        <v>11314.885534210172</v>
      </c>
      <c r="N83" s="3">
        <f>EXP(-E83*J83)*(G83*_xlfn.NORM.DIST(-L83,0,1,TRUE)-D83*_xlfn.NORM.DIST(-K83,0,1,TRUE))</f>
        <v>1774.9843317518303</v>
      </c>
      <c r="O83" s="3" t="b">
        <f>(M83-N83)=EXP(-E83*J83)*(D83-G83)</f>
        <v>1</v>
      </c>
    </row>
    <row r="84" spans="1:15" x14ac:dyDescent="0.3">
      <c r="A84" s="1">
        <v>45987</v>
      </c>
      <c r="B84" t="s">
        <v>17</v>
      </c>
      <c r="C84">
        <v>49559.07</v>
      </c>
      <c r="D84">
        <v>49264.58236</v>
      </c>
      <c r="E84" s="2">
        <v>7.7640990591341967E-3</v>
      </c>
      <c r="F84" s="1">
        <v>46367</v>
      </c>
      <c r="G84">
        <v>44603.163</v>
      </c>
      <c r="H84">
        <v>0.26239099999999999</v>
      </c>
      <c r="J84" s="3">
        <f>(F84-A84)/365</f>
        <v>1.0410958904109588</v>
      </c>
      <c r="K84" s="3">
        <f>(LN(D84/G84)+H84^2*J84/2)/(H84*SQRT(J84))</f>
        <v>0.50513843643356726</v>
      </c>
      <c r="L84" s="3">
        <f>K84-H84*SQRT(J84)</f>
        <v>0.23741012385613064</v>
      </c>
      <c r="M84" s="3">
        <f>EXP(-E84*J84)*(D84*_xlfn.NORM.DIST(K84,0,1,TRUE)-G84*_xlfn.NORM.DIST(L84,0,1,TRUE))</f>
        <v>7605.1677464485647</v>
      </c>
      <c r="N84" s="3">
        <f>EXP(-E84*J84)*(G84*_xlfn.NORM.DIST(-L84,0,1,TRUE)-D84*_xlfn.NORM.DIST(-K84,0,1,TRUE))</f>
        <v>2981.2755655008227</v>
      </c>
      <c r="O84" s="3" t="b">
        <f>(M84-N84)=EXP(-E84*J84)*(D84-G84)</f>
        <v>1</v>
      </c>
    </row>
    <row r="85" spans="1:15" x14ac:dyDescent="0.3">
      <c r="A85" s="1">
        <v>45987</v>
      </c>
      <c r="B85" t="s">
        <v>17</v>
      </c>
      <c r="C85">
        <v>49559.07</v>
      </c>
      <c r="D85">
        <v>49264.58236</v>
      </c>
      <c r="E85" s="2">
        <v>7.7640990591341967E-3</v>
      </c>
      <c r="F85" s="1">
        <v>46367</v>
      </c>
      <c r="G85">
        <v>47081.116500000004</v>
      </c>
      <c r="H85">
        <v>0.249413</v>
      </c>
      <c r="J85" s="3">
        <f>(F85-A85)/365</f>
        <v>1.0410958904109588</v>
      </c>
      <c r="K85" s="3">
        <f>(LN(D85/G85)+H85^2*J85/2)/(H85*SQRT(J85))</f>
        <v>0.30538010244712671</v>
      </c>
      <c r="L85" s="3">
        <f>K85-H85*SQRT(J85)</f>
        <v>5.0893776220708065E-2</v>
      </c>
      <c r="M85" s="3">
        <f>EXP(-E85*J85)*(D85*_xlfn.NORM.DIST(K85,0,1,TRUE)-G85*_xlfn.NORM.DIST(L85,0,1,TRUE))</f>
        <v>5997.4122005847294</v>
      </c>
      <c r="N85" s="3">
        <f>EXP(-E85*J85)*(G85*_xlfn.NORM.DIST(-L85,0,1,TRUE)-D85*_xlfn.NORM.DIST(-K85,0,1,TRUE))</f>
        <v>3831.524530392292</v>
      </c>
      <c r="O85" s="3" t="b">
        <f>(M85-N85)=EXP(-E85*J85)*(D85-G85)</f>
        <v>1</v>
      </c>
    </row>
    <row r="86" spans="1:15" x14ac:dyDescent="0.3">
      <c r="A86" s="1">
        <v>45987</v>
      </c>
      <c r="B86" t="s">
        <v>17</v>
      </c>
      <c r="C86">
        <v>49559.07</v>
      </c>
      <c r="D86">
        <v>49264.58236</v>
      </c>
      <c r="E86" s="2">
        <v>7.7640990591341967E-3</v>
      </c>
      <c r="F86" s="1">
        <v>46367</v>
      </c>
      <c r="G86">
        <v>49559.07</v>
      </c>
      <c r="H86">
        <v>0.23817199999999999</v>
      </c>
      <c r="J86" s="3">
        <f>(F86-A86)/365</f>
        <v>1.0410958904109588</v>
      </c>
      <c r="K86" s="3">
        <f>(LN(D86/G86)+H86^2*J86/2)/(H86*SQRT(J86))</f>
        <v>9.6983767222784373E-2</v>
      </c>
      <c r="L86" s="3">
        <f>K86-H86*SQRT(J86)</f>
        <v>-0.14603290508378575</v>
      </c>
      <c r="M86" s="3">
        <f>EXP(-E86*J86)*(D86*_xlfn.NORM.DIST(K86,0,1,TRUE)-G86*_xlfn.NORM.DIST(L86,0,1,TRUE))</f>
        <v>4595.584849195151</v>
      </c>
      <c r="N86" s="3">
        <f>EXP(-E86*J86)*(G86*_xlfn.NORM.DIST(-L86,0,1,TRUE)-D86*_xlfn.NORM.DIST(-K86,0,1,TRUE))</f>
        <v>4887.7016897580152</v>
      </c>
      <c r="O86" s="3" t="b">
        <f>(M86-N86)=EXP(-E86*J86)*(D86-G86)</f>
        <v>0</v>
      </c>
    </row>
    <row r="87" spans="1:15" x14ac:dyDescent="0.3">
      <c r="A87" s="1">
        <v>45987</v>
      </c>
      <c r="B87" t="s">
        <v>17</v>
      </c>
      <c r="C87">
        <v>49559.07</v>
      </c>
      <c r="D87">
        <v>49264.58236</v>
      </c>
      <c r="E87" s="2">
        <v>7.7640990591341967E-3</v>
      </c>
      <c r="F87" s="1">
        <v>46367</v>
      </c>
      <c r="G87">
        <v>52037.023499999996</v>
      </c>
      <c r="H87">
        <v>0.22892599999999999</v>
      </c>
      <c r="J87" s="3">
        <f>(F87-A87)/365</f>
        <v>1.0410958904109588</v>
      </c>
      <c r="K87" s="3">
        <f>(LN(D87/G87)+H87^2*J87/2)/(H87*SQRT(J87))</f>
        <v>-0.11760134618847291</v>
      </c>
      <c r="L87" s="3">
        <f>K87-H87*SQRT(J87)</f>
        <v>-0.35118394500132194</v>
      </c>
      <c r="M87" s="3">
        <f>EXP(-E87*J87)*(D87*_xlfn.NORM.DIST(K87,0,1,TRUE)-G87*_xlfn.NORM.DIST(L87,0,1,TRUE))</f>
        <v>3423.3807596858278</v>
      </c>
      <c r="N87" s="3">
        <f>EXP(-E87*J87)*(G87*_xlfn.NORM.DIST(-L87,0,1,TRUE)-D87*_xlfn.NORM.DIST(-K87,0,1,TRUE))</f>
        <v>6173.5021110039861</v>
      </c>
      <c r="O87" s="3" t="b">
        <f>(M87-N87)=EXP(-E87*J87)*(D87-G87)</f>
        <v>1</v>
      </c>
    </row>
    <row r="88" spans="1:15" x14ac:dyDescent="0.3">
      <c r="A88" s="1">
        <v>45987</v>
      </c>
      <c r="B88" t="s">
        <v>17</v>
      </c>
      <c r="C88">
        <v>49559.07</v>
      </c>
      <c r="D88">
        <v>49264.58236</v>
      </c>
      <c r="E88" s="2">
        <v>7.7640990591341967E-3</v>
      </c>
      <c r="F88" s="1">
        <v>46367</v>
      </c>
      <c r="G88">
        <v>54514.976999999999</v>
      </c>
      <c r="H88">
        <v>0.22189800000000001</v>
      </c>
      <c r="J88" s="3">
        <f>(F88-A88)/365</f>
        <v>1.0410958904109588</v>
      </c>
      <c r="K88" s="3">
        <f>(LN(D88/G88)+H88^2*J88/2)/(H88*SQRT(J88))</f>
        <v>-0.33407709321531009</v>
      </c>
      <c r="L88" s="3">
        <f>K88-H88*SQRT(J88)</f>
        <v>-0.56048873501822272</v>
      </c>
      <c r="M88" s="3">
        <f>EXP(-E88*J88)*(D88*_xlfn.NORM.DIST(K88,0,1,TRUE)-G88*_xlfn.NORM.DIST(L88,0,1,TRUE))</f>
        <v>2489.3055265558642</v>
      </c>
      <c r="N88" s="3">
        <f>EXP(-E88*J88)*(G88*_xlfn.NORM.DIST(-L88,0,1,TRUE)-D88*_xlfn.NORM.DIST(-K88,0,1,TRUE))</f>
        <v>7697.4313886293285</v>
      </c>
      <c r="O88" s="3" t="b">
        <f>(M88-N88)=EXP(-E88*J88)*(D88-G88)</f>
        <v>1</v>
      </c>
    </row>
    <row r="89" spans="1:15" x14ac:dyDescent="0.3">
      <c r="A89" s="1">
        <v>45987</v>
      </c>
      <c r="B89" t="s">
        <v>17</v>
      </c>
      <c r="C89">
        <v>49559.07</v>
      </c>
      <c r="D89">
        <v>49264.58236</v>
      </c>
      <c r="E89" s="2">
        <v>7.7640990591341967E-3</v>
      </c>
      <c r="F89" s="1">
        <v>46367</v>
      </c>
      <c r="G89">
        <v>59470.884000000005</v>
      </c>
      <c r="H89">
        <v>0.21468499999999999</v>
      </c>
      <c r="J89" s="3">
        <f>(F89-A89)/365</f>
        <v>1.0410958904109588</v>
      </c>
      <c r="K89" s="3">
        <f>(LN(D89/G89)+H89^2*J89/2)/(H89*SQRT(J89))</f>
        <v>-0.7500028415821044</v>
      </c>
      <c r="L89" s="3">
        <f>K89-H89*SQRT(J89)</f>
        <v>-0.96905476327792095</v>
      </c>
      <c r="M89" s="3">
        <f>EXP(-E89*J89)*(D89*_xlfn.NORM.DIST(K89,0,1,TRUE)-G89*_xlfn.NORM.DIST(L89,0,1,TRUE))</f>
        <v>1266.8126196862825</v>
      </c>
      <c r="N89" s="3">
        <f>EXP(-E89*J89)*(G89*_xlfn.NORM.DIST(-L89,0,1,TRUE)-D89*_xlfn.NORM.DIST(-K89,0,1,TRUE))</f>
        <v>11390.947503270359</v>
      </c>
      <c r="O89" s="3" t="b">
        <f>(M89-N89)=EXP(-E89*J89)*(D89-G89)</f>
        <v>1</v>
      </c>
    </row>
    <row r="90" spans="1:15" x14ac:dyDescent="0.3">
      <c r="A90" s="1">
        <v>45987</v>
      </c>
      <c r="B90" t="s">
        <v>17</v>
      </c>
      <c r="C90">
        <v>49559.07</v>
      </c>
      <c r="D90">
        <v>49264.58236</v>
      </c>
      <c r="E90" s="2">
        <v>7.7640990591341967E-3</v>
      </c>
      <c r="F90" s="1">
        <v>46367</v>
      </c>
      <c r="G90">
        <v>64426.790999999997</v>
      </c>
      <c r="H90">
        <v>0.215172</v>
      </c>
      <c r="J90" s="3">
        <f>(F90-A90)/365</f>
        <v>1.0410958904109588</v>
      </c>
      <c r="K90" s="3">
        <f>(LN(D90/G90)+H90^2*J90/2)/(H90*SQRT(J90))</f>
        <v>-1.1123871721780547</v>
      </c>
      <c r="L90" s="3">
        <f>K90-H90*SQRT(J90)</f>
        <v>-1.3319359999728808</v>
      </c>
      <c r="M90" s="3">
        <f>EXP(-E90*J90)*(D90*_xlfn.NORM.DIST(K90,0,1,TRUE)-G90*_xlfn.NORM.DIST(L90,0,1,TRUE))</f>
        <v>654.95217913272438</v>
      </c>
      <c r="N90" s="3">
        <f>EXP(-E90*J90)*(G90*_xlfn.NORM.DIST(-L90,0,1,TRUE)-D90*_xlfn.NORM.DIST(-K90,0,1,TRUE))</f>
        <v>15695.096084227393</v>
      </c>
      <c r="O90" s="3" t="b">
        <f>(M90-N90)=EXP(-E90*J90)*(D90-G90)</f>
        <v>1</v>
      </c>
    </row>
    <row r="91" spans="1:15" x14ac:dyDescent="0.3">
      <c r="A91" s="1">
        <v>45987</v>
      </c>
      <c r="B91" t="s">
        <v>17</v>
      </c>
      <c r="C91">
        <v>49559.07</v>
      </c>
      <c r="D91">
        <v>49264.58236</v>
      </c>
      <c r="E91" s="2">
        <v>7.7640990591341967E-3</v>
      </c>
      <c r="F91" s="1">
        <v>46367</v>
      </c>
      <c r="G91">
        <v>69382.698000000004</v>
      </c>
      <c r="H91">
        <v>0.220523</v>
      </c>
      <c r="J91" s="3">
        <f>(F91-A91)/365</f>
        <v>1.0410958904109588</v>
      </c>
      <c r="K91" s="3">
        <f>(LN(D91/G91)+H91^2*J91/2)/(H91*SQRT(J91))</f>
        <v>-1.4093575164339136</v>
      </c>
      <c r="L91" s="3">
        <f>K91-H91*SQRT(J91)</f>
        <v>-1.6343661892714503</v>
      </c>
      <c r="M91" s="3">
        <f>EXP(-E91*J91)*(D91*_xlfn.NORM.DIST(K91,0,1,TRUE)-G91*_xlfn.NORM.DIST(L91,0,1,TRUE))</f>
        <v>362.10112958784964</v>
      </c>
      <c r="N91" s="3">
        <f>EXP(-E91*J91)*(G91*_xlfn.NORM.DIST(-L91,0,1,TRUE)-D91*_xlfn.NORM.DIST(-K91,0,1,TRUE))</f>
        <v>20318.254056193131</v>
      </c>
      <c r="O91" s="3" t="b">
        <f>(M91-N91)=EXP(-E91*J91)*(D91-G91)</f>
        <v>1</v>
      </c>
    </row>
    <row r="92" spans="1:15" x14ac:dyDescent="0.3">
      <c r="A92" s="1">
        <v>45987</v>
      </c>
      <c r="B92" t="s">
        <v>17</v>
      </c>
      <c r="C92">
        <v>49559.07</v>
      </c>
      <c r="D92">
        <v>49264.58236</v>
      </c>
      <c r="E92" s="2">
        <v>7.7640990591341967E-3</v>
      </c>
      <c r="F92" s="1">
        <v>46367</v>
      </c>
      <c r="G92">
        <v>74338.604999999996</v>
      </c>
      <c r="H92">
        <v>0.228384</v>
      </c>
      <c r="J92" s="3">
        <f>(F92-A92)/365</f>
        <v>1.0410958904109588</v>
      </c>
      <c r="K92" s="3">
        <f>(LN(D92/G92)+H92^2*J92/2)/(H92*SQRT(J92))</f>
        <v>-1.6490335949563524</v>
      </c>
      <c r="L92" s="3">
        <f>K92-H92*SQRT(J92)</f>
        <v>-1.8820631689115768</v>
      </c>
      <c r="M92" s="3">
        <f>EXP(-E92*J92)*(D92*_xlfn.NORM.DIST(K92,0,1,TRUE)-G92*_xlfn.NORM.DIST(L92,0,1,TRUE))</f>
        <v>216.56208667215358</v>
      </c>
      <c r="N92" s="3">
        <f>EXP(-E92*J92)*(G92*_xlfn.NORM.DIST(-L92,0,1,TRUE)-D92*_xlfn.NORM.DIST(-K92,0,1,TRUE))</f>
        <v>25088.724034788029</v>
      </c>
      <c r="O92" s="3" t="b">
        <f>(M92-N92)=EXP(-E92*J92)*(D92-G92)</f>
        <v>1</v>
      </c>
    </row>
    <row r="93" spans="1:15" x14ac:dyDescent="0.3">
      <c r="A93" s="1">
        <v>45987</v>
      </c>
      <c r="B93" t="s">
        <v>17</v>
      </c>
      <c r="C93">
        <v>49559.07</v>
      </c>
      <c r="D93">
        <v>49147.657550000004</v>
      </c>
      <c r="E93" s="2">
        <v>8.7582903485505601E-3</v>
      </c>
      <c r="F93" s="1">
        <v>46549</v>
      </c>
      <c r="G93">
        <v>24779.535</v>
      </c>
      <c r="H93">
        <v>0.377189</v>
      </c>
      <c r="J93" s="3">
        <f>(F93-A93)/365</f>
        <v>1.5397260273972602</v>
      </c>
      <c r="K93" s="3">
        <f>(LN(D93/G93)+H93^2*J93/2)/(H93*SQRT(J93))</f>
        <v>1.6971727739499638</v>
      </c>
      <c r="L93" s="3">
        <f>K93-H93*SQRT(J93)</f>
        <v>1.2291351731679765</v>
      </c>
      <c r="M93" s="3">
        <f>EXP(-E93*J93)*(D93*_xlfn.NORM.DIST(K93,0,1,TRUE)-G93*_xlfn.NORM.DIST(L93,0,1,TRUE))</f>
        <v>24545.113841857896</v>
      </c>
      <c r="N93" s="3">
        <f>EXP(-E93*J93)*(G93*_xlfn.NORM.DIST(-L93,0,1,TRUE)-D93*_xlfn.NORM.DIST(-K93,0,1,TRUE))</f>
        <v>503.39857463854537</v>
      </c>
      <c r="O93" s="3" t="b">
        <f>(M93-N93)=EXP(-E93*J93)*(D93-G93)</f>
        <v>0</v>
      </c>
    </row>
    <row r="94" spans="1:15" x14ac:dyDescent="0.3">
      <c r="A94" s="1">
        <v>45987</v>
      </c>
      <c r="B94" t="s">
        <v>17</v>
      </c>
      <c r="C94">
        <v>49559.07</v>
      </c>
      <c r="D94">
        <v>49147.657550000004</v>
      </c>
      <c r="E94" s="2">
        <v>8.7582903485505601E-3</v>
      </c>
      <c r="F94" s="1">
        <v>46549</v>
      </c>
      <c r="G94">
        <v>29735.442000000003</v>
      </c>
      <c r="H94">
        <v>0.33829500000000001</v>
      </c>
      <c r="J94" s="3">
        <f>(F94-A94)/365</f>
        <v>1.5397260273972602</v>
      </c>
      <c r="K94" s="3">
        <f>(LN(D94/G94)+H94^2*J94/2)/(H94*SQRT(J94))</f>
        <v>1.4069307207870714</v>
      </c>
      <c r="L94" s="3">
        <f>K94-H94*SQRT(J94)</f>
        <v>0.98715501111223358</v>
      </c>
      <c r="M94" s="3">
        <f>EXP(-E94*J94)*(D94*_xlfn.NORM.DIST(K94,0,1,TRUE)-G94*_xlfn.NORM.DIST(L94,0,1,TRUE))</f>
        <v>20032.690137865193</v>
      </c>
      <c r="N94" s="3">
        <f>EXP(-E94*J94)*(G94*_xlfn.NORM.DIST(-L94,0,1,TRUE)-D94*_xlfn.NORM.DIST(-K94,0,1,TRUE))</f>
        <v>880.49825269315272</v>
      </c>
      <c r="O94" s="3" t="b">
        <f>(M94-N94)=EXP(-E94*J94)*(D94-G94)</f>
        <v>1</v>
      </c>
    </row>
    <row r="95" spans="1:15" x14ac:dyDescent="0.3">
      <c r="A95" s="1">
        <v>45987</v>
      </c>
      <c r="B95" t="s">
        <v>17</v>
      </c>
      <c r="C95">
        <v>49559.07</v>
      </c>
      <c r="D95">
        <v>49147.657550000004</v>
      </c>
      <c r="E95" s="2">
        <v>8.7582903485505601E-3</v>
      </c>
      <c r="F95" s="1">
        <v>46549</v>
      </c>
      <c r="G95">
        <v>34691.349000000002</v>
      </c>
      <c r="H95">
        <v>0.30497600000000002</v>
      </c>
      <c r="J95" s="3">
        <f>(F95-A95)/365</f>
        <v>1.5397260273972602</v>
      </c>
      <c r="K95" s="3">
        <f>(LN(D95/G95)+H95^2*J95/2)/(H95*SQRT(J95))</f>
        <v>1.1096961233201701</v>
      </c>
      <c r="L95" s="3">
        <f>K95-H95*SQRT(J95)</f>
        <v>0.73126452712810885</v>
      </c>
      <c r="M95" s="3">
        <f>EXP(-E95*J95)*(D95*_xlfn.NORM.DIST(K95,0,1,TRUE)-G95*_xlfn.NORM.DIST(L95,0,1,TRUE))</f>
        <v>15737.346045503273</v>
      </c>
      <c r="N95" s="3">
        <f>EXP(-E95*J95)*(G95*_xlfn.NORM.DIST(-L95,0,1,TRUE)-D95*_xlfn.NORM.DIST(-K95,0,1,TRUE))</f>
        <v>1474.6775423785364</v>
      </c>
      <c r="O95" s="3" t="b">
        <f>(M95-N95)=EXP(-E95*J95)*(D95-G95)</f>
        <v>1</v>
      </c>
    </row>
    <row r="96" spans="1:15" x14ac:dyDescent="0.3">
      <c r="A96" s="1">
        <v>45987</v>
      </c>
      <c r="B96" t="s">
        <v>17</v>
      </c>
      <c r="C96">
        <v>49559.07</v>
      </c>
      <c r="D96">
        <v>49147.657550000004</v>
      </c>
      <c r="E96" s="2">
        <v>8.7582903485505601E-3</v>
      </c>
      <c r="F96" s="1">
        <v>46549</v>
      </c>
      <c r="G96">
        <v>39647.256000000001</v>
      </c>
      <c r="H96">
        <v>0.276364</v>
      </c>
      <c r="J96" s="3">
        <f>(F96-A96)/365</f>
        <v>1.5397260273972602</v>
      </c>
      <c r="K96" s="3">
        <f>(LN(D96/G96)+H96^2*J96/2)/(H96*SQRT(J96))</f>
        <v>0.79785600277812485</v>
      </c>
      <c r="L96" s="3">
        <f>K96-H96*SQRT(J96)</f>
        <v>0.45492780629701557</v>
      </c>
      <c r="M96" s="3">
        <f>EXP(-E96*J96)*(D96*_xlfn.NORM.DIST(K96,0,1,TRUE)-G96*_xlfn.NORM.DIST(L96,0,1,TRUE))</f>
        <v>11766.630910655633</v>
      </c>
      <c r="N96" s="3">
        <f>EXP(-E96*J96)*(G96*_xlfn.NORM.DIST(-L96,0,1,TRUE)-D96*_xlfn.NORM.DIST(-K96,0,1,TRUE))</f>
        <v>2393.4857895782043</v>
      </c>
      <c r="O96" s="3" t="b">
        <f>(M96-N96)=EXP(-E96*J96)*(D96-G96)</f>
        <v>1</v>
      </c>
    </row>
    <row r="97" spans="1:15" x14ac:dyDescent="0.3">
      <c r="A97" s="1">
        <v>45987</v>
      </c>
      <c r="B97" t="s">
        <v>17</v>
      </c>
      <c r="C97">
        <v>49559.07</v>
      </c>
      <c r="D97">
        <v>49147.657550000004</v>
      </c>
      <c r="E97" s="2">
        <v>8.7582903485505601E-3</v>
      </c>
      <c r="F97" s="1">
        <v>46549</v>
      </c>
      <c r="G97">
        <v>44603.163</v>
      </c>
      <c r="H97">
        <v>0.25234400000000001</v>
      </c>
      <c r="J97" s="3">
        <f>(F97-A97)/365</f>
        <v>1.5397260273972602</v>
      </c>
      <c r="K97" s="3">
        <f>(LN(D97/G97)+H97^2*J97/2)/(H97*SQRT(J97))</f>
        <v>0.46642196786341339</v>
      </c>
      <c r="L97" s="3">
        <f>K97-H97*SQRT(J97)</f>
        <v>0.1532991558733241</v>
      </c>
      <c r="M97" s="3">
        <f>EXP(-E97*J97)*(D97*_xlfn.NORM.DIST(K97,0,1,TRUE)-G97*_xlfn.NORM.DIST(L97,0,1,TRUE))</f>
        <v>8266.9675836824917</v>
      </c>
      <c r="N97" s="3">
        <f>EXP(-E97*J97)*(G97*_xlfn.NORM.DIST(-L97,0,1,TRUE)-D97*_xlfn.NORM.DIST(-K97,0,1,TRUE))</f>
        <v>3783.3458446523659</v>
      </c>
      <c r="O97" s="3" t="b">
        <f>(M97-N97)=EXP(-E97*J97)*(D97-G97)</f>
        <v>0</v>
      </c>
    </row>
    <row r="98" spans="1:15" x14ac:dyDescent="0.3">
      <c r="A98" s="1">
        <v>45987</v>
      </c>
      <c r="B98" t="s">
        <v>17</v>
      </c>
      <c r="C98">
        <v>49559.07</v>
      </c>
      <c r="D98">
        <v>49147.657550000004</v>
      </c>
      <c r="E98" s="2">
        <v>8.7582903485505601E-3</v>
      </c>
      <c r="F98" s="1">
        <v>46549</v>
      </c>
      <c r="G98">
        <v>47081.116500000004</v>
      </c>
      <c r="H98">
        <v>0.242198</v>
      </c>
      <c r="J98" s="3">
        <f>(F98-A98)/365</f>
        <v>1.5397260273972602</v>
      </c>
      <c r="K98" s="3">
        <f>(LN(D98/G98)+H98^2*J98/2)/(H98*SQRT(J98))</f>
        <v>0.29320318166962811</v>
      </c>
      <c r="L98" s="3">
        <f>K98-H98*SQRT(J98)</f>
        <v>-7.3298954725890542E-3</v>
      </c>
      <c r="M98" s="3">
        <f>EXP(-E98*J98)*(D98*_xlfn.NORM.DIST(K98,0,1,TRUE)-G98*_xlfn.NORM.DIST(L98,0,1,TRUE))</f>
        <v>6746.8831757546741</v>
      </c>
      <c r="N98" s="3">
        <f>EXP(-E98*J98)*(G98*_xlfn.NORM.DIST(-L98,0,1,TRUE)-D98*_xlfn.NORM.DIST(-K98,0,1,TRUE))</f>
        <v>4708.0231277482062</v>
      </c>
      <c r="O98" s="3" t="b">
        <f>(M98-N98)=EXP(-E98*J98)*(D98-G98)</f>
        <v>1</v>
      </c>
    </row>
    <row r="99" spans="1:15" x14ac:dyDescent="0.3">
      <c r="A99" s="1">
        <v>45987</v>
      </c>
      <c r="B99" t="s">
        <v>17</v>
      </c>
      <c r="C99">
        <v>49559.07</v>
      </c>
      <c r="D99">
        <v>49147.657550000004</v>
      </c>
      <c r="E99" s="2">
        <v>8.7582903485505601E-3</v>
      </c>
      <c r="F99" s="1">
        <v>46549</v>
      </c>
      <c r="G99">
        <v>49559.07</v>
      </c>
      <c r="H99">
        <v>0.233428</v>
      </c>
      <c r="J99" s="3">
        <f>(F99-A99)/365</f>
        <v>1.5397260273972602</v>
      </c>
      <c r="K99" s="3">
        <f>(LN(D99/G99)+H99^2*J99/2)/(H99*SQRT(J99))</f>
        <v>0.11604553166731721</v>
      </c>
      <c r="L99" s="3">
        <f>K99-H99*SQRT(J99)</f>
        <v>-0.17360522982185059</v>
      </c>
      <c r="M99" s="3">
        <f>EXP(-E99*J99)*(D99*_xlfn.NORM.DIST(K99,0,1,TRUE)-G99*_xlfn.NORM.DIST(L99,0,1,TRUE))</f>
        <v>5406.3325016761255</v>
      </c>
      <c r="N99" s="3">
        <f>EXP(-E99*J99)*(G99*_xlfn.NORM.DIST(-L99,0,1,TRUE)-D99*_xlfn.NORM.DIST(-K99,0,1,TRUE))</f>
        <v>5812.2341446933033</v>
      </c>
      <c r="O99" s="3" t="b">
        <f>(M99-N99)=EXP(-E99*J99)*(D99-G99)</f>
        <v>0</v>
      </c>
    </row>
    <row r="100" spans="1:15" x14ac:dyDescent="0.3">
      <c r="A100" s="1">
        <v>45987</v>
      </c>
      <c r="B100" t="s">
        <v>17</v>
      </c>
      <c r="C100">
        <v>49559.07</v>
      </c>
      <c r="D100">
        <v>49147.657550000004</v>
      </c>
      <c r="E100" s="2">
        <v>8.7582903485505601E-3</v>
      </c>
      <c r="F100" s="1">
        <v>46549</v>
      </c>
      <c r="G100">
        <v>52037.023499999996</v>
      </c>
      <c r="H100">
        <v>0.22614600000000001</v>
      </c>
      <c r="J100" s="3">
        <f>(F100-A100)/365</f>
        <v>1.5397260273972602</v>
      </c>
      <c r="K100" s="3">
        <f>(LN(D100/G100)+H100^2*J100/2)/(H100*SQRT(J100))</f>
        <v>-6.3267946941482092E-2</v>
      </c>
      <c r="L100" s="3">
        <f>K100-H100*SQRT(J100)</f>
        <v>-0.34388278795339733</v>
      </c>
      <c r="M100" s="3">
        <f>EXP(-E100*J100)*(D100*_xlfn.NORM.DIST(K100,0,1,TRUE)-G100*_xlfn.NORM.DIST(L100,0,1,TRUE))</f>
        <v>4258.5134478620503</v>
      </c>
      <c r="N100" s="3">
        <f>EXP(-E100*J100)*(G100*_xlfn.NORM.DIST(-L100,0,1,TRUE)-D100*_xlfn.NORM.DIST(-K100,0,1,TRUE))</f>
        <v>7109.1767819028773</v>
      </c>
      <c r="O100" s="3" t="b">
        <f>(M100-N100)=EXP(-E100*J100)*(D100-G100)</f>
        <v>1</v>
      </c>
    </row>
    <row r="101" spans="1:15" x14ac:dyDescent="0.3">
      <c r="A101" s="1">
        <v>45987</v>
      </c>
      <c r="B101" t="s">
        <v>17</v>
      </c>
      <c r="C101">
        <v>49559.07</v>
      </c>
      <c r="D101">
        <v>49147.657550000004</v>
      </c>
      <c r="E101" s="2">
        <v>8.7582903485505601E-3</v>
      </c>
      <c r="F101" s="1">
        <v>46549</v>
      </c>
      <c r="G101">
        <v>54514.976999999999</v>
      </c>
      <c r="H101">
        <v>0.22043299999999999</v>
      </c>
      <c r="J101" s="3">
        <f>(F101-A101)/365</f>
        <v>1.5397260273972602</v>
      </c>
      <c r="K101" s="3">
        <f>(LN(D101/G101)+H101^2*J101/2)/(H101*SQRT(J101))</f>
        <v>-0.24216395826438789</v>
      </c>
      <c r="L101" s="3">
        <f>K101-H101*SQRT(J101)</f>
        <v>-0.51568978338965876</v>
      </c>
      <c r="M101" s="3">
        <f>EXP(-E101*J101)*(D101*_xlfn.NORM.DIST(K101,0,1,TRUE)-G101*_xlfn.NORM.DIST(L101,0,1,TRUE))</f>
        <v>3306.8316548466669</v>
      </c>
      <c r="N101" s="3">
        <f>EXP(-E101*J101)*(G101*_xlfn.NORM.DIST(-L101,0,1,TRUE)-D101*_xlfn.NORM.DIST(-K101,0,1,TRUE))</f>
        <v>8602.2566799111573</v>
      </c>
      <c r="O101" s="3" t="b">
        <f>(M101-N101)=EXP(-E101*J101)*(D101-G101)</f>
        <v>1</v>
      </c>
    </row>
    <row r="102" spans="1:15" x14ac:dyDescent="0.3">
      <c r="A102" s="1">
        <v>45987</v>
      </c>
      <c r="B102" t="s">
        <v>17</v>
      </c>
      <c r="C102">
        <v>49559.07</v>
      </c>
      <c r="D102">
        <v>49147.657550000004</v>
      </c>
      <c r="E102" s="2">
        <v>8.7582903485505601E-3</v>
      </c>
      <c r="F102" s="1">
        <v>46549</v>
      </c>
      <c r="G102">
        <v>59470.884000000005</v>
      </c>
      <c r="H102">
        <v>0.21370500000000001</v>
      </c>
      <c r="J102" s="3">
        <f>(F102-A102)/365</f>
        <v>1.5397260273972602</v>
      </c>
      <c r="K102" s="3">
        <f>(LN(D102/G102)+H102^2*J102/2)/(H102*SQRT(J102))</f>
        <v>-0.58639305934482455</v>
      </c>
      <c r="L102" s="3">
        <f>K102-H102*SQRT(J102)</f>
        <v>-0.8515703987558747</v>
      </c>
      <c r="M102" s="3">
        <f>EXP(-E102*J102)*(D102*_xlfn.NORM.DIST(K102,0,1,TRUE)-G102*_xlfn.NORM.DIST(L102,0,1,TRUE))</f>
        <v>1946.9918529452407</v>
      </c>
      <c r="N102" s="3">
        <f>EXP(-E102*J102)*(G102*_xlfn.NORM.DIST(-L102,0,1,TRUE)-D102*_xlfn.NORM.DIST(-K102,0,1,TRUE))</f>
        <v>12131.940260057039</v>
      </c>
      <c r="O102" s="3" t="b">
        <f>(M102-N102)=EXP(-E102*J102)*(D102-G102)</f>
        <v>1</v>
      </c>
    </row>
    <row r="103" spans="1:15" x14ac:dyDescent="0.3">
      <c r="A103" s="1">
        <v>45987</v>
      </c>
      <c r="B103" t="s">
        <v>17</v>
      </c>
      <c r="C103">
        <v>49559.07</v>
      </c>
      <c r="D103">
        <v>49147.657550000004</v>
      </c>
      <c r="E103" s="2">
        <v>8.7582903485505601E-3</v>
      </c>
      <c r="F103" s="1">
        <v>46549</v>
      </c>
      <c r="G103">
        <v>64426.790999999997</v>
      </c>
      <c r="H103">
        <v>0.212447</v>
      </c>
      <c r="J103" s="3">
        <f>(F103-A103)/365</f>
        <v>1.5397260273972602</v>
      </c>
      <c r="K103" s="3">
        <f>(LN(D103/G103)+H103^2*J103/2)/(H103*SQRT(J103))</f>
        <v>-0.89506432248944823</v>
      </c>
      <c r="L103" s="3">
        <f>K103-H103*SQRT(J103)</f>
        <v>-1.1586806638284874</v>
      </c>
      <c r="M103" s="3">
        <f>EXP(-E103*J103)*(D103*_xlfn.NORM.DIST(K103,0,1,TRUE)-G103*_xlfn.NORM.DIST(L103,0,1,TRUE))</f>
        <v>1151.791508556395</v>
      </c>
      <c r="N103" s="3">
        <f>EXP(-E103*J103)*(G103*_xlfn.NORM.DIST(-L103,0,1,TRUE)-D103*_xlfn.NORM.DIST(-K103,0,1,TRUE))</f>
        <v>16226.26329771549</v>
      </c>
      <c r="O103" s="3" t="b">
        <f>(M103-N103)=EXP(-E103*J103)*(D103-G103)</f>
        <v>1</v>
      </c>
    </row>
    <row r="104" spans="1:15" x14ac:dyDescent="0.3">
      <c r="A104" s="1">
        <v>45987</v>
      </c>
      <c r="B104" t="s">
        <v>17</v>
      </c>
      <c r="C104">
        <v>49559.07</v>
      </c>
      <c r="D104">
        <v>49147.657550000004</v>
      </c>
      <c r="E104" s="2">
        <v>8.7582903485505601E-3</v>
      </c>
      <c r="F104" s="1">
        <v>46549</v>
      </c>
      <c r="G104">
        <v>69382.698000000004</v>
      </c>
      <c r="H104">
        <v>0.21507299999999999</v>
      </c>
      <c r="J104" s="3">
        <f>(F104-A104)/365</f>
        <v>1.5397260273972602</v>
      </c>
      <c r="K104" s="3">
        <f>(LN(D104/G104)+H104^2*J104/2)/(H104*SQRT(J104))</f>
        <v>-1.1585852884048302</v>
      </c>
      <c r="L104" s="3">
        <f>K104-H104*SQRT(J104)</f>
        <v>-1.4254601201549193</v>
      </c>
      <c r="M104" s="3">
        <f>EXP(-E104*J104)*(D104*_xlfn.NORM.DIST(K104,0,1,TRUE)-G104*_xlfn.NORM.DIST(L104,0,1,TRUE))</f>
        <v>707.61141799440213</v>
      </c>
      <c r="N104" s="3">
        <f>EXP(-E104*J104)*(G104*_xlfn.NORM.DIST(-L104,0,1,TRUE)-D104*_xlfn.NORM.DIST(-K104,0,1,TRUE))</f>
        <v>20671.606589200812</v>
      </c>
      <c r="O104" s="3" t="b">
        <f>(M104-N104)=EXP(-E104*J104)*(D104-G104)</f>
        <v>1</v>
      </c>
    </row>
    <row r="105" spans="1:15" x14ac:dyDescent="0.3">
      <c r="A105" s="1">
        <v>45987</v>
      </c>
      <c r="B105" t="s">
        <v>17</v>
      </c>
      <c r="C105">
        <v>49559.07</v>
      </c>
      <c r="D105">
        <v>49147.657550000004</v>
      </c>
      <c r="E105" s="2">
        <v>8.7582903485505601E-3</v>
      </c>
      <c r="F105" s="1">
        <v>46549</v>
      </c>
      <c r="G105">
        <v>74338.604999999996</v>
      </c>
      <c r="H105">
        <v>0.220052</v>
      </c>
      <c r="J105" s="3">
        <f>(F105-A105)/365</f>
        <v>1.5397260273972602</v>
      </c>
      <c r="K105" s="3">
        <f>(LN(D105/G105)+H105^2*J105/2)/(H105*SQRT(J105))</f>
        <v>-1.3789342950537504</v>
      </c>
      <c r="L105" s="3">
        <f>K105-H105*SQRT(J105)</f>
        <v>-1.6519873536723153</v>
      </c>
      <c r="M105" s="3">
        <f>EXP(-E105*J105)*(D105*_xlfn.NORM.DIST(K105,0,1,TRUE)-G105*_xlfn.NORM.DIST(L105,0,1,TRUE))</f>
        <v>457.54645504214761</v>
      </c>
      <c r="N105" s="3">
        <f>EXP(-E105*J105)*(G105*_xlfn.NORM.DIST(-L105,0,1,TRUE)-D105*_xlfn.NORM.DIST(-K105,0,1,TRUE))</f>
        <v>25311.065008295849</v>
      </c>
      <c r="O105" s="3" t="b">
        <f>(M105-N105)=EXP(-E105*J105)*(D105-G105)</f>
        <v>1</v>
      </c>
    </row>
    <row r="106" spans="1:15" x14ac:dyDescent="0.3">
      <c r="A106" s="1">
        <v>45987</v>
      </c>
      <c r="B106" t="s">
        <v>17</v>
      </c>
      <c r="C106">
        <v>49559.07</v>
      </c>
      <c r="D106">
        <v>49097.035790000002</v>
      </c>
      <c r="E106" s="2">
        <v>9.6309683069021306E-3</v>
      </c>
      <c r="F106" s="1">
        <v>46731</v>
      </c>
      <c r="G106">
        <v>24779.535</v>
      </c>
      <c r="H106">
        <v>0.35436000000000001</v>
      </c>
      <c r="J106" s="3">
        <f>(F106-A106)/365</f>
        <v>2.0383561643835617</v>
      </c>
      <c r="K106" s="3">
        <f>(LN(D106/G106)+H106^2*J106/2)/(H106*SQRT(J106))</f>
        <v>1.6045113619948959</v>
      </c>
      <c r="L106" s="3">
        <f>K106-H106*SQRT(J106)</f>
        <v>1.0985880066474407</v>
      </c>
      <c r="M106" s="3">
        <f>EXP(-E106*J106)*(D106*_xlfn.NORM.DIST(K106,0,1,TRUE)-G106*_xlfn.NORM.DIST(L106,0,1,TRUE))</f>
        <v>24534.464713757159</v>
      </c>
      <c r="N106" s="3">
        <f>EXP(-E106*J106)*(G106*_xlfn.NORM.DIST(-L106,0,1,TRUE)-D106*_xlfn.NORM.DIST(-K106,0,1,TRUE))</f>
        <v>689.69379441394415</v>
      </c>
      <c r="O106" s="3" t="b">
        <f>(M106-N106)=EXP(-E106*J106)*(D106-G106)</f>
        <v>1</v>
      </c>
    </row>
    <row r="107" spans="1:15" x14ac:dyDescent="0.3">
      <c r="A107" s="1">
        <v>45987</v>
      </c>
      <c r="B107" t="s">
        <v>17</v>
      </c>
      <c r="C107">
        <v>49559.07</v>
      </c>
      <c r="D107">
        <v>49097.035790000002</v>
      </c>
      <c r="E107" s="2">
        <v>9.6309683069021306E-3</v>
      </c>
      <c r="F107" s="1">
        <v>46731</v>
      </c>
      <c r="G107">
        <v>29735.442000000003</v>
      </c>
      <c r="H107">
        <v>0.32034200000000002</v>
      </c>
      <c r="J107" s="3">
        <f>(F107-A107)/365</f>
        <v>2.0383561643835617</v>
      </c>
      <c r="K107" s="3">
        <f>(LN(D107/G107)+H107^2*J107/2)/(H107*SQRT(J107))</f>
        <v>1.3251092641092976</v>
      </c>
      <c r="L107" s="3">
        <f>K107-H107*SQRT(J107)</f>
        <v>0.8677537513575353</v>
      </c>
      <c r="M107" s="3">
        <f>EXP(-E107*J107)*(D107*_xlfn.NORM.DIST(K107,0,1,TRUE)-G107*_xlfn.NORM.DIST(L107,0,1,TRUE))</f>
        <v>20149.280291553991</v>
      </c>
      <c r="N107" s="3">
        <f>EXP(-E107*J107)*(G107*_xlfn.NORM.DIST(-L107,0,1,TRUE)-D107*_xlfn.NORM.DIST(-K107,0,1,TRUE))</f>
        <v>1164.0740179808372</v>
      </c>
      <c r="O107" s="3" t="b">
        <f>(M107-N107)=EXP(-E107*J107)*(D107-G107)</f>
        <v>1</v>
      </c>
    </row>
    <row r="108" spans="1:15" x14ac:dyDescent="0.3">
      <c r="A108" s="1">
        <v>45987</v>
      </c>
      <c r="B108" t="s">
        <v>17</v>
      </c>
      <c r="C108">
        <v>49559.07</v>
      </c>
      <c r="D108">
        <v>49097.035790000002</v>
      </c>
      <c r="E108" s="2">
        <v>9.6309683069021306E-3</v>
      </c>
      <c r="F108" s="1">
        <v>46731</v>
      </c>
      <c r="G108">
        <v>34691.349000000002</v>
      </c>
      <c r="H108">
        <v>0.29147400000000001</v>
      </c>
      <c r="J108" s="3">
        <f>(F108-A108)/365</f>
        <v>2.0383561643835617</v>
      </c>
      <c r="K108" s="3">
        <f>(LN(D108/G108)+H108^2*J108/2)/(H108*SQRT(J108))</f>
        <v>1.0426643149981107</v>
      </c>
      <c r="L108" s="3">
        <f>K108-H108*SQRT(J108)</f>
        <v>0.62652393776438187</v>
      </c>
      <c r="M108" s="3">
        <f>EXP(-E108*J108)*(D108*_xlfn.NORM.DIST(K108,0,1,TRUE)-G108*_xlfn.NORM.DIST(L108,0,1,TRUE))</f>
        <v>16004.981466309144</v>
      </c>
      <c r="N108" s="3">
        <f>EXP(-E108*J108)*(G108*_xlfn.NORM.DIST(-L108,0,1,TRUE)-D108*_xlfn.NORM.DIST(-K108,0,1,TRUE))</f>
        <v>1879.3398385060464</v>
      </c>
      <c r="O108" s="3" t="b">
        <f>(M108-N108)=EXP(-E108*J108)*(D108-G108)</f>
        <v>1</v>
      </c>
    </row>
    <row r="109" spans="1:15" x14ac:dyDescent="0.3">
      <c r="A109" s="1">
        <v>45987</v>
      </c>
      <c r="B109" t="s">
        <v>17</v>
      </c>
      <c r="C109">
        <v>49559.07</v>
      </c>
      <c r="D109">
        <v>49097.035790000002</v>
      </c>
      <c r="E109" s="2">
        <v>9.6309683069021306E-3</v>
      </c>
      <c r="F109" s="1">
        <v>46731</v>
      </c>
      <c r="G109">
        <v>39647.256000000001</v>
      </c>
      <c r="H109">
        <v>0.266986</v>
      </c>
      <c r="J109" s="3">
        <f>(F109-A109)/365</f>
        <v>2.0383561643835617</v>
      </c>
      <c r="K109" s="3">
        <f>(LN(D109/G109)+H109^2*J109/2)/(H109*SQRT(J109))</f>
        <v>0.75142067279829539</v>
      </c>
      <c r="L109" s="3">
        <f>K109-H109*SQRT(J109)</f>
        <v>0.37024206079130906</v>
      </c>
      <c r="M109" s="3">
        <f>EXP(-E109*J109)*(D109*_xlfn.NORM.DIST(K109,0,1,TRUE)-G109*_xlfn.NORM.DIST(L109,0,1,TRUE))</f>
        <v>12200.764712834729</v>
      </c>
      <c r="N109" s="3">
        <f>EXP(-E109*J109)*(G109*_xlfn.NORM.DIST(-L109,0,1,TRUE)-D109*_xlfn.NORM.DIST(-K109,0,1,TRUE))</f>
        <v>2934.6877308016951</v>
      </c>
      <c r="O109" s="3" t="b">
        <f>(M109-N109)=EXP(-E109*J109)*(D109-G109)</f>
        <v>0</v>
      </c>
    </row>
    <row r="110" spans="1:15" x14ac:dyDescent="0.3">
      <c r="A110" s="1">
        <v>45987</v>
      </c>
      <c r="B110" t="s">
        <v>17</v>
      </c>
      <c r="C110">
        <v>49559.07</v>
      </c>
      <c r="D110">
        <v>49097.035790000002</v>
      </c>
      <c r="E110" s="2">
        <v>9.6309683069021306E-3</v>
      </c>
      <c r="F110" s="1">
        <v>46731</v>
      </c>
      <c r="G110">
        <v>44603.163</v>
      </c>
      <c r="H110">
        <v>0.24670900000000001</v>
      </c>
      <c r="J110" s="3">
        <f>(F110-A110)/365</f>
        <v>2.0383561643835617</v>
      </c>
      <c r="K110" s="3">
        <f>(LN(D110/G110)+H110^2*J110/2)/(H110*SQRT(J110))</f>
        <v>0.44864712129468276</v>
      </c>
      <c r="L110" s="3">
        <f>K110-H110*SQRT(J110)</f>
        <v>9.6418187232104213E-2</v>
      </c>
      <c r="M110" s="3">
        <f>EXP(-E110*J110)*(D110*_xlfn.NORM.DIST(K110,0,1,TRUE)-G110*_xlfn.NORM.DIST(L110,0,1,TRUE))</f>
        <v>8859.7595084736004</v>
      </c>
      <c r="N110" s="3">
        <f>EXP(-E110*J110)*(G110*_xlfn.NORM.DIST(-L110,0,1,TRUE)-D110*_xlfn.NORM.DIST(-K110,0,1,TRUE))</f>
        <v>4453.2471722106184</v>
      </c>
      <c r="O110" s="3" t="b">
        <f>(M110-N110)=EXP(-E110*J110)*(D110-G110)</f>
        <v>1</v>
      </c>
    </row>
    <row r="111" spans="1:15" x14ac:dyDescent="0.3">
      <c r="A111" s="1">
        <v>45987</v>
      </c>
      <c r="B111" t="s">
        <v>17</v>
      </c>
      <c r="C111">
        <v>49559.07</v>
      </c>
      <c r="D111">
        <v>49097.035790000002</v>
      </c>
      <c r="E111" s="2">
        <v>9.6309683069021306E-3</v>
      </c>
      <c r="F111" s="1">
        <v>46731</v>
      </c>
      <c r="G111">
        <v>47081.116500000004</v>
      </c>
      <c r="H111">
        <v>0.23821700000000001</v>
      </c>
      <c r="J111" s="3">
        <f>(F111-A111)/365</f>
        <v>2.0383561643835617</v>
      </c>
      <c r="K111" s="3">
        <f>(LN(D111/G111)+H111^2*J111/2)/(H111*SQRT(J111))</f>
        <v>0.29332812549366505</v>
      </c>
      <c r="L111" s="3">
        <f>K111-H111*SQRT(J111)</f>
        <v>-4.6776694296392363E-2</v>
      </c>
      <c r="M111" s="3">
        <f>EXP(-E111*J111)*(D111*_xlfn.NORM.DIST(K111,0,1,TRUE)-G111*_xlfn.NORM.DIST(L111,0,1,TRUE))</f>
        <v>7403.4991057289435</v>
      </c>
      <c r="N111" s="3">
        <f>EXP(-E111*J111)*(G111*_xlfn.NORM.DIST(-L111,0,1,TRUE)-D111*_xlfn.NORM.DIST(-K111,0,1,TRUE))</f>
        <v>5426.7690923509954</v>
      </c>
      <c r="O111" s="3" t="b">
        <f>(M111-N111)=EXP(-E111*J111)*(D111-G111)</f>
        <v>1</v>
      </c>
    </row>
    <row r="112" spans="1:15" x14ac:dyDescent="0.3">
      <c r="A112" s="1">
        <v>45987</v>
      </c>
      <c r="B112" t="s">
        <v>17</v>
      </c>
      <c r="C112">
        <v>49559.07</v>
      </c>
      <c r="D112">
        <v>49097.035790000002</v>
      </c>
      <c r="E112" s="2">
        <v>9.6309683069021306E-3</v>
      </c>
      <c r="F112" s="1">
        <v>46731</v>
      </c>
      <c r="G112">
        <v>49559.07</v>
      </c>
      <c r="H112">
        <v>0.23089199999999999</v>
      </c>
      <c r="J112" s="3">
        <f>(F112-A112)/365</f>
        <v>2.0383561643835617</v>
      </c>
      <c r="K112" s="3">
        <f>(LN(D112/G112)+H112^2*J112/2)/(H112*SQRT(J112))</f>
        <v>0.13640928829631527</v>
      </c>
      <c r="L112" s="3">
        <f>K112-H112*SQRT(J112)</f>
        <v>-0.19323755492211975</v>
      </c>
      <c r="M112" s="3">
        <f>EXP(-E112*J112)*(D112*_xlfn.NORM.DIST(K112,0,1,TRUE)-G112*_xlfn.NORM.DIST(L112,0,1,TRUE))</f>
        <v>6108.3484877030878</v>
      </c>
      <c r="N112" s="3">
        <f>EXP(-E112*J112)*(G112*_xlfn.NORM.DIST(-L112,0,1,TRUE)-D112*_xlfn.NORM.DIST(-K112,0,1,TRUE))</f>
        <v>6561.4007972101681</v>
      </c>
      <c r="O112" s="3" t="b">
        <f>(M112-N112)=EXP(-E112*J112)*(D112-G112)</f>
        <v>0</v>
      </c>
    </row>
    <row r="113" spans="1:15" x14ac:dyDescent="0.3">
      <c r="A113" s="1">
        <v>45987</v>
      </c>
      <c r="B113" t="s">
        <v>17</v>
      </c>
      <c r="C113">
        <v>49559.07</v>
      </c>
      <c r="D113">
        <v>49097.035790000002</v>
      </c>
      <c r="E113" s="2">
        <v>9.6309683069021306E-3</v>
      </c>
      <c r="F113" s="1">
        <v>46731</v>
      </c>
      <c r="G113">
        <v>52037.023499999996</v>
      </c>
      <c r="H113">
        <v>0.22478100000000001</v>
      </c>
      <c r="J113" s="3">
        <f>(F113-A113)/365</f>
        <v>2.0383561643835617</v>
      </c>
      <c r="K113" s="3">
        <f>(LN(D113/G113)+H113^2*J113/2)/(H113*SQRT(J113))</f>
        <v>-2.0756732202337525E-2</v>
      </c>
      <c r="L113" s="3">
        <f>K113-H113*SQRT(J113)</f>
        <v>-0.34167883892532075</v>
      </c>
      <c r="M113" s="3">
        <f>EXP(-E113*J113)*(D113*_xlfn.NORM.DIST(K113,0,1,TRUE)-G113*_xlfn.NORM.DIST(L113,0,1,TRUE))</f>
        <v>4982.2437484508982</v>
      </c>
      <c r="N113" s="3">
        <f>EXP(-E113*J113)*(G113*_xlfn.NORM.DIST(-L113,0,1,TRUE)-D113*_xlfn.NORM.DIST(-K113,0,1,TRUE))</f>
        <v>7865.0783808429969</v>
      </c>
      <c r="O113" s="3" t="b">
        <f>(M113-N113)=EXP(-E113*J113)*(D113-G113)</f>
        <v>1</v>
      </c>
    </row>
    <row r="114" spans="1:15" x14ac:dyDescent="0.3">
      <c r="A114" s="1">
        <v>45987</v>
      </c>
      <c r="B114" t="s">
        <v>17</v>
      </c>
      <c r="C114">
        <v>49559.07</v>
      </c>
      <c r="D114">
        <v>49097.035790000002</v>
      </c>
      <c r="E114" s="2">
        <v>9.6309683069021306E-3</v>
      </c>
      <c r="F114" s="1">
        <v>46731</v>
      </c>
      <c r="G114">
        <v>54514.976999999999</v>
      </c>
      <c r="H114">
        <v>0.219912</v>
      </c>
      <c r="J114" s="3">
        <f>(F114-A114)/365</f>
        <v>2.0383561643835617</v>
      </c>
      <c r="K114" s="3">
        <f>(LN(D114/G114)+H114^2*J114/2)/(H114*SQRT(J114))</f>
        <v>-0.17641157196010335</v>
      </c>
      <c r="L114" s="3">
        <f>K114-H114*SQRT(J114)</f>
        <v>-0.49038215814694597</v>
      </c>
      <c r="M114" s="3">
        <f>EXP(-E114*J114)*(D114*_xlfn.NORM.DIST(K114,0,1,TRUE)-G114*_xlfn.NORM.DIST(L114,0,1,TRUE))</f>
        <v>4026.2305922078485</v>
      </c>
      <c r="N114" s="3">
        <f>EXP(-E114*J114)*(G114*_xlfn.NORM.DIST(-L114,0,1,TRUE)-D114*_xlfn.NORM.DIST(-K114,0,1,TRUE))</f>
        <v>9338.8475474849874</v>
      </c>
      <c r="O114" s="3" t="b">
        <f>(M114-N114)=EXP(-E114*J114)*(D114-G114)</f>
        <v>1</v>
      </c>
    </row>
    <row r="115" spans="1:15" x14ac:dyDescent="0.3">
      <c r="A115" s="1">
        <v>45987</v>
      </c>
      <c r="B115" t="s">
        <v>17</v>
      </c>
      <c r="C115">
        <v>49559.07</v>
      </c>
      <c r="D115">
        <v>49097.035790000002</v>
      </c>
      <c r="E115" s="2">
        <v>9.6309683069021306E-3</v>
      </c>
      <c r="F115" s="1">
        <v>46731</v>
      </c>
      <c r="G115">
        <v>59470.884000000005</v>
      </c>
      <c r="H115">
        <v>0.213809</v>
      </c>
      <c r="J115" s="3">
        <f>(F115-A115)/365</f>
        <v>2.0383561643835617</v>
      </c>
      <c r="K115" s="3">
        <f>(LN(D115/G115)+H115^2*J115/2)/(H115*SQRT(J115))</f>
        <v>-0.4753275315219419</v>
      </c>
      <c r="L115" s="3">
        <f>K115-H115*SQRT(J115)</f>
        <v>-0.78058480289423016</v>
      </c>
      <c r="M115" s="3">
        <f>EXP(-E115*J115)*(D115*_xlfn.NORM.DIST(K115,0,1,TRUE)-G115*_xlfn.NORM.DIST(L115,0,1,TRUE))</f>
        <v>2589.7004027414418</v>
      </c>
      <c r="N115" s="3">
        <f>EXP(-E115*J115)*(G115*_xlfn.NORM.DIST(-L115,0,1,TRUE)-D115*_xlfn.NORM.DIST(-K115,0,1,TRUE))</f>
        <v>12761.882003788634</v>
      </c>
      <c r="O115" s="3" t="b">
        <f>(M115-N115)=EXP(-E115*J115)*(D115-G115)</f>
        <v>1</v>
      </c>
    </row>
    <row r="116" spans="1:15" x14ac:dyDescent="0.3">
      <c r="A116" s="1">
        <v>45987</v>
      </c>
      <c r="B116" t="s">
        <v>17</v>
      </c>
      <c r="C116">
        <v>49559.07</v>
      </c>
      <c r="D116">
        <v>49097.035790000002</v>
      </c>
      <c r="E116" s="2">
        <v>9.6309683069021306E-3</v>
      </c>
      <c r="F116" s="1">
        <v>46731</v>
      </c>
      <c r="G116">
        <v>64426.790999999997</v>
      </c>
      <c r="H116">
        <v>0.21197199999999999</v>
      </c>
      <c r="J116" s="3">
        <f>(F116-A116)/365</f>
        <v>2.0383561643835617</v>
      </c>
      <c r="K116" s="3">
        <f>(LN(D116/G116)+H116^2*J116/2)/(H116*SQRT(J116))</f>
        <v>-0.74656723633590738</v>
      </c>
      <c r="L116" s="3">
        <f>K116-H116*SQRT(J116)</f>
        <v>-1.0492018042321449</v>
      </c>
      <c r="M116" s="3">
        <f>EXP(-E116*J116)*(D116*_xlfn.NORM.DIST(K116,0,1,TRUE)-G116*_xlfn.NORM.DIST(L116,0,1,TRUE))</f>
        <v>1670.9384930005883</v>
      </c>
      <c r="N116" s="3">
        <f>EXP(-E116*J116)*(G116*_xlfn.NORM.DIST(-L116,0,1,TRUE)-D116*_xlfn.NORM.DIST(-K116,0,1,TRUE))</f>
        <v>16702.684739817836</v>
      </c>
      <c r="O116" s="3" t="b">
        <f>(M116-N116)=EXP(-E116*J116)*(D116-G116)</f>
        <v>0</v>
      </c>
    </row>
    <row r="117" spans="1:15" x14ac:dyDescent="0.3">
      <c r="A117" s="1">
        <v>45987</v>
      </c>
      <c r="B117" t="s">
        <v>17</v>
      </c>
      <c r="C117">
        <v>49559.07</v>
      </c>
      <c r="D117">
        <v>49097.035790000002</v>
      </c>
      <c r="E117" s="2">
        <v>9.6309683069021306E-3</v>
      </c>
      <c r="F117" s="1">
        <v>46731</v>
      </c>
      <c r="G117">
        <v>69382.698000000004</v>
      </c>
      <c r="H117">
        <v>0.21332699999999999</v>
      </c>
      <c r="J117" s="3">
        <f>(F117-A117)/365</f>
        <v>2.0383561643835617</v>
      </c>
      <c r="K117" s="3">
        <f>(LN(D117/G117)+H117^2*J117/2)/(H117*SQRT(J117))</f>
        <v>-0.98321752991325528</v>
      </c>
      <c r="L117" s="3">
        <f>K117-H117*SQRT(J117)</f>
        <v>-1.287786645011479</v>
      </c>
      <c r="M117" s="3">
        <f>EXP(-E117*J117)*(D117*_xlfn.NORM.DIST(K117,0,1,TRUE)-G117*_xlfn.NORM.DIST(L117,0,1,TRUE))</f>
        <v>1105.9747654362627</v>
      </c>
      <c r="N117" s="3">
        <f>EXP(-E117*J117)*(G117*_xlfn.NORM.DIST(-L117,0,1,TRUE)-D117*_xlfn.NORM.DIST(-K117,0,1,TRUE))</f>
        <v>20997.285658023571</v>
      </c>
      <c r="O117" s="3" t="b">
        <f>(M117-N117)=EXP(-E117*J117)*(D117-G117)</f>
        <v>1</v>
      </c>
    </row>
    <row r="118" spans="1:15" x14ac:dyDescent="0.3">
      <c r="A118" s="1">
        <v>45987</v>
      </c>
      <c r="B118" t="s">
        <v>17</v>
      </c>
      <c r="C118">
        <v>49559.07</v>
      </c>
      <c r="D118">
        <v>49097.035790000002</v>
      </c>
      <c r="E118" s="2">
        <v>9.6309683069021306E-3</v>
      </c>
      <c r="F118" s="1">
        <v>46731</v>
      </c>
      <c r="G118">
        <v>74338.604999999996</v>
      </c>
      <c r="H118">
        <v>0.216783</v>
      </c>
      <c r="J118" s="3">
        <f>(F118-A118)/365</f>
        <v>2.0383561643835617</v>
      </c>
      <c r="K118" s="3">
        <f>(LN(D118/G118)+H118^2*J118/2)/(H118*SQRT(J118))</f>
        <v>-1.1855628652126378</v>
      </c>
      <c r="L118" s="3">
        <f>K118-H118*SQRT(J118)</f>
        <v>-1.4950661464585102</v>
      </c>
      <c r="M118" s="3">
        <f>EXP(-E118*J118)*(D118*_xlfn.NORM.DIST(K118,0,1,TRUE)-G118*_xlfn.NORM.DIST(L118,0,1,TRUE))</f>
        <v>759.32913210677566</v>
      </c>
      <c r="N118" s="3">
        <f>EXP(-E118*J118)*(G118*_xlfn.NORM.DIST(-L118,0,1,TRUE)-D118*_xlfn.NORM.DIST(-K118,0,1,TRUE))</f>
        <v>25510.20467046414</v>
      </c>
      <c r="O118" s="3" t="b">
        <f>(M118-N118)=EXP(-E118*J118)*(D118-G118)</f>
        <v>1</v>
      </c>
    </row>
    <row r="119" spans="1:15" x14ac:dyDescent="0.3">
      <c r="A119" s="1">
        <v>45987</v>
      </c>
      <c r="B119" t="s">
        <v>17</v>
      </c>
      <c r="C119">
        <v>49559.07</v>
      </c>
      <c r="D119">
        <v>49021.959600000002</v>
      </c>
      <c r="E119" s="2">
        <v>1.0328586915258465E-2</v>
      </c>
      <c r="F119" s="1">
        <v>46913</v>
      </c>
      <c r="G119">
        <v>24779.535</v>
      </c>
      <c r="H119">
        <v>0.33843600000000001</v>
      </c>
      <c r="J119" s="3">
        <f>(F119-A119)/365</f>
        <v>2.536986301369863</v>
      </c>
      <c r="K119" s="3">
        <f>(LN(D119/G119)+H119^2*J119/2)/(H119*SQRT(J119))</f>
        <v>1.5351629297774652</v>
      </c>
      <c r="L119" s="3">
        <f>K119-H119*SQRT(J119)</f>
        <v>0.99610478219117071</v>
      </c>
      <c r="M119" s="3">
        <f>EXP(-E119*J119)*(D119*_xlfn.NORM.DIST(K119,0,1,TRUE)-G119*_xlfn.NORM.DIST(L119,0,1,TRUE))</f>
        <v>24489.445673194485</v>
      </c>
      <c r="N119" s="3">
        <f>EXP(-E119*J119)*(G119*_xlfn.NORM.DIST(-L119,0,1,TRUE)-D119*_xlfn.NORM.DIST(-K119,0,1,TRUE))</f>
        <v>874.00656975122263</v>
      </c>
      <c r="O119" s="3" t="b">
        <f>(M119-N119)=EXP(-E119*J119)*(D119-G119)</f>
        <v>1</v>
      </c>
    </row>
    <row r="120" spans="1:15" x14ac:dyDescent="0.3">
      <c r="A120" s="1">
        <v>45987</v>
      </c>
      <c r="B120" t="s">
        <v>17</v>
      </c>
      <c r="C120">
        <v>49559.07</v>
      </c>
      <c r="D120">
        <v>49021.959600000002</v>
      </c>
      <c r="E120" s="2">
        <v>1.0328586915258465E-2</v>
      </c>
      <c r="F120" s="1">
        <v>46913</v>
      </c>
      <c r="G120">
        <v>29735.442000000003</v>
      </c>
      <c r="H120">
        <v>0.30780099999999999</v>
      </c>
      <c r="J120" s="3">
        <f>(F120-A120)/365</f>
        <v>2.536986301369863</v>
      </c>
      <c r="K120" s="3">
        <f>(LN(D120/G120)+H120^2*J120/2)/(H120*SQRT(J120))</f>
        <v>1.2648468611488377</v>
      </c>
      <c r="L120" s="3">
        <f>K120-H120*SQRT(J120)</f>
        <v>0.77458389596425636</v>
      </c>
      <c r="M120" s="3">
        <f>EXP(-E120*J120)*(D120*_xlfn.NORM.DIST(K120,0,1,TRUE)-G120*_xlfn.NORM.DIST(L120,0,1,TRUE))</f>
        <v>20222.917261942697</v>
      </c>
      <c r="N120" s="3">
        <f>EXP(-E120*J120)*(G120*_xlfn.NORM.DIST(-L120,0,1,TRUE)-D120*_xlfn.NORM.DIST(-K120,0,1,TRUE))</f>
        <v>1435.2097856745615</v>
      </c>
      <c r="O120" s="3" t="b">
        <f>(M120-N120)=EXP(-E120*J120)*(D120-G120)</f>
        <v>1</v>
      </c>
    </row>
    <row r="121" spans="1:15" x14ac:dyDescent="0.3">
      <c r="A121" s="1">
        <v>45987</v>
      </c>
      <c r="B121" t="s">
        <v>17</v>
      </c>
      <c r="C121">
        <v>49559.07</v>
      </c>
      <c r="D121">
        <v>49021.959600000002</v>
      </c>
      <c r="E121" s="2">
        <v>1.0328586915258465E-2</v>
      </c>
      <c r="F121" s="1">
        <v>46913</v>
      </c>
      <c r="G121">
        <v>34691.349000000002</v>
      </c>
      <c r="H121">
        <v>0.28199099999999999</v>
      </c>
      <c r="J121" s="3">
        <f>(F121-A121)/365</f>
        <v>2.536986301369863</v>
      </c>
      <c r="K121" s="3">
        <f>(LN(D121/G121)+H121^2*J121/2)/(H121*SQRT(J121))</f>
        <v>0.99442108095998027</v>
      </c>
      <c r="L121" s="3">
        <f>K121-H121*SQRT(J121)</f>
        <v>0.5452680768587419</v>
      </c>
      <c r="M121" s="3">
        <f>EXP(-E121*J121)*(D121*_xlfn.NORM.DIST(K121,0,1,TRUE)-G121*_xlfn.NORM.DIST(L121,0,1,TRUE))</f>
        <v>16213.290250037549</v>
      </c>
      <c r="N121" s="3">
        <f>EXP(-E121*J121)*(G121*_xlfn.NORM.DIST(-L121,0,1,TRUE)-D121*_xlfn.NORM.DIST(-K121,0,1,TRUE))</f>
        <v>2253.314400944525</v>
      </c>
      <c r="O121" s="3" t="b">
        <f>(M121-N121)=EXP(-E121*J121)*(D121-G121)</f>
        <v>1</v>
      </c>
    </row>
    <row r="122" spans="1:15" x14ac:dyDescent="0.3">
      <c r="A122" s="1">
        <v>45987</v>
      </c>
      <c r="B122" t="s">
        <v>17</v>
      </c>
      <c r="C122">
        <v>49559.07</v>
      </c>
      <c r="D122">
        <v>49021.959600000002</v>
      </c>
      <c r="E122" s="2">
        <v>1.0328586915258465E-2</v>
      </c>
      <c r="F122" s="1">
        <v>46913</v>
      </c>
      <c r="G122">
        <v>39647.256000000001</v>
      </c>
      <c r="H122">
        <v>0.26028499999999999</v>
      </c>
      <c r="J122" s="3">
        <f>(F122-A122)/365</f>
        <v>2.536986301369863</v>
      </c>
      <c r="K122" s="3">
        <f>(LN(D122/G122)+H122^2*J122/2)/(H122*SQRT(J122))</f>
        <v>0.71924584672636549</v>
      </c>
      <c r="L122" s="3">
        <f>K122-H122*SQRT(J122)</f>
        <v>0.30466598540990203</v>
      </c>
      <c r="M122" s="3">
        <f>EXP(-E122*J122)*(D122*_xlfn.NORM.DIST(K122,0,1,TRUE)-G122*_xlfn.NORM.DIST(L122,0,1,TRUE))</f>
        <v>12550.81674515096</v>
      </c>
      <c r="N122" s="3">
        <f>EXP(-E122*J122)*(G122*_xlfn.NORM.DIST(-L122,0,1,TRUE)-D122*_xlfn.NORM.DIST(-K122,0,1,TRUE))</f>
        <v>3418.5725232330628</v>
      </c>
      <c r="O122" s="3" t="b">
        <f>(M122-N122)=EXP(-E122*J122)*(D122-G122)</f>
        <v>1</v>
      </c>
    </row>
    <row r="123" spans="1:15" x14ac:dyDescent="0.3">
      <c r="A123" s="1">
        <v>45987</v>
      </c>
      <c r="B123" t="s">
        <v>17</v>
      </c>
      <c r="C123">
        <v>49559.07</v>
      </c>
      <c r="D123">
        <v>49021.959600000002</v>
      </c>
      <c r="E123" s="2">
        <v>1.0328586915258465E-2</v>
      </c>
      <c r="F123" s="1">
        <v>46913</v>
      </c>
      <c r="G123">
        <v>44603.163</v>
      </c>
      <c r="H123">
        <v>0.24246400000000001</v>
      </c>
      <c r="J123" s="3">
        <f>(F123-A123)/365</f>
        <v>2.536986301369863</v>
      </c>
      <c r="K123" s="3">
        <f>(LN(D123/G123)+H123^2*J123/2)/(H123*SQRT(J123))</f>
        <v>0.43769826304944032</v>
      </c>
      <c r="L123" s="3">
        <f>K123-H123*SQRT(J123)</f>
        <v>5.1503547663478755E-2</v>
      </c>
      <c r="M123" s="3">
        <f>EXP(-E123*J123)*(D123*_xlfn.NORM.DIST(K123,0,1,TRUE)-G123*_xlfn.NORM.DIST(L123,0,1,TRUE))</f>
        <v>9339.7678819830635</v>
      </c>
      <c r="N123" s="3">
        <f>EXP(-E123*J123)*(G123*_xlfn.NORM.DIST(-L123,0,1,TRUE)-D123*_xlfn.NORM.DIST(-K123,0,1,TRUE))</f>
        <v>5035.2552872402875</v>
      </c>
      <c r="O123" s="3" t="b">
        <f>(M123-N123)=EXP(-E123*J123)*(D123-G123)</f>
        <v>1</v>
      </c>
    </row>
    <row r="124" spans="1:15" x14ac:dyDescent="0.3">
      <c r="A124" s="1">
        <v>45987</v>
      </c>
      <c r="B124" t="s">
        <v>17</v>
      </c>
      <c r="C124">
        <v>49559.07</v>
      </c>
      <c r="D124">
        <v>49021.959600000002</v>
      </c>
      <c r="E124" s="2">
        <v>1.0328586915258465E-2</v>
      </c>
      <c r="F124" s="1">
        <v>46913</v>
      </c>
      <c r="G124">
        <v>47081.116500000004</v>
      </c>
      <c r="H124">
        <v>0.23503299999999999</v>
      </c>
      <c r="J124" s="3">
        <f>(F124-A124)/365</f>
        <v>2.536986301369863</v>
      </c>
      <c r="K124" s="3">
        <f>(LN(D124/G124)+H124^2*J124/2)/(H124*SQRT(J124))</f>
        <v>0.2950874980561356</v>
      </c>
      <c r="L124" s="3">
        <f>K124-H124*SQRT(J124)</f>
        <v>-7.9271180103544614E-2</v>
      </c>
      <c r="M124" s="3">
        <f>EXP(-E124*J124)*(D124*_xlfn.NORM.DIST(K124,0,1,TRUE)-G124*_xlfn.NORM.DIST(L124,0,1,TRUE))</f>
        <v>7935.4375649924596</v>
      </c>
      <c r="N124" s="3">
        <f>EXP(-E124*J124)*(G124*_xlfn.NORM.DIST(-L124,0,1,TRUE)-D124*_xlfn.NORM.DIST(-K124,0,1,TRUE))</f>
        <v>6044.7907838372448</v>
      </c>
      <c r="O124" s="3" t="b">
        <f>(M124-N124)=EXP(-E124*J124)*(D124-G124)</f>
        <v>1</v>
      </c>
    </row>
    <row r="125" spans="1:15" x14ac:dyDescent="0.3">
      <c r="A125" s="1">
        <v>45987</v>
      </c>
      <c r="B125" t="s">
        <v>17</v>
      </c>
      <c r="C125">
        <v>49559.07</v>
      </c>
      <c r="D125">
        <v>49021.959600000002</v>
      </c>
      <c r="E125" s="2">
        <v>1.0328586915258465E-2</v>
      </c>
      <c r="F125" s="1">
        <v>46913</v>
      </c>
      <c r="G125">
        <v>49559.07</v>
      </c>
      <c r="H125">
        <v>0.22861899999999999</v>
      </c>
      <c r="J125" s="3">
        <f>(F125-A125)/365</f>
        <v>2.536986301369863</v>
      </c>
      <c r="K125" s="3">
        <f>(LN(D125/G125)+H125^2*J125/2)/(H125*SQRT(J125))</f>
        <v>0.15214632657035759</v>
      </c>
      <c r="L125" s="3">
        <f>K125-H125*SQRT(J125)</f>
        <v>-0.21199618380983548</v>
      </c>
      <c r="M125" s="3">
        <f>EXP(-E125*J125)*(D125*_xlfn.NORM.DIST(K125,0,1,TRUE)-G125*_xlfn.NORM.DIST(L125,0,1,TRUE))</f>
        <v>6678.4445685333103</v>
      </c>
      <c r="N125" s="3">
        <f>EXP(-E125*J125)*(G125*_xlfn.NORM.DIST(-L125,0,1,TRUE)-D125*_xlfn.NORM.DIST(-K125,0,1,TRUE))</f>
        <v>7201.6636009656522</v>
      </c>
      <c r="O125" s="3" t="b">
        <f>(M125-N125)=EXP(-E125*J125)*(D125-G125)</f>
        <v>1</v>
      </c>
    </row>
    <row r="126" spans="1:15" x14ac:dyDescent="0.3">
      <c r="A126" s="1">
        <v>45987</v>
      </c>
      <c r="B126" t="s">
        <v>17</v>
      </c>
      <c r="C126">
        <v>49559.07</v>
      </c>
      <c r="D126">
        <v>49021.959600000002</v>
      </c>
      <c r="E126" s="2">
        <v>1.0328586915258465E-2</v>
      </c>
      <c r="F126" s="1">
        <v>46913</v>
      </c>
      <c r="G126">
        <v>52037.023499999996</v>
      </c>
      <c r="H126">
        <v>0.22323999999999999</v>
      </c>
      <c r="J126" s="3">
        <f>(F126-A126)/365</f>
        <v>2.536986301369863</v>
      </c>
      <c r="K126" s="3">
        <f>(LN(D126/G126)+H126^2*J126/2)/(H126*SQRT(J126))</f>
        <v>9.9265888513582722E-3</v>
      </c>
      <c r="L126" s="3">
        <f>K126-H126*SQRT(J126)</f>
        <v>-0.34564829345183745</v>
      </c>
      <c r="M126" s="3">
        <f>EXP(-E126*J126)*(D126*_xlfn.NORM.DIST(K126,0,1,TRUE)-G126*_xlfn.NORM.DIST(L126,0,1,TRUE))</f>
        <v>5573.8363863959767</v>
      </c>
      <c r="N126" s="3">
        <f>EXP(-E126*J126)*(G126*_xlfn.NORM.DIST(-L126,0,1,TRUE)-D126*_xlfn.NORM.DIST(-K126,0,1,TRUE))</f>
        <v>8510.9212324158761</v>
      </c>
      <c r="O126" s="3" t="b">
        <f>(M126-N126)=EXP(-E126*J126)*(D126-G126)</f>
        <v>1</v>
      </c>
    </row>
    <row r="127" spans="1:15" x14ac:dyDescent="0.3">
      <c r="A127" s="1">
        <v>45987</v>
      </c>
      <c r="B127" t="s">
        <v>17</v>
      </c>
      <c r="C127">
        <v>49559.07</v>
      </c>
      <c r="D127">
        <v>49021.959600000002</v>
      </c>
      <c r="E127" s="2">
        <v>1.0328586915258465E-2</v>
      </c>
      <c r="F127" s="1">
        <v>46913</v>
      </c>
      <c r="G127">
        <v>54514.976999999999</v>
      </c>
      <c r="H127">
        <v>0.21889900000000001</v>
      </c>
      <c r="J127" s="3">
        <f>(F127-A127)/365</f>
        <v>2.536986301369863</v>
      </c>
      <c r="K127" s="3">
        <f>(LN(D127/G127)+H127^2*J127/2)/(H127*SQRT(J127))</f>
        <v>-0.1302843645173524</v>
      </c>
      <c r="L127" s="3">
        <f>K127-H127*SQRT(J127)</f>
        <v>-0.4789449368219898</v>
      </c>
      <c r="M127" s="3">
        <f>EXP(-E127*J127)*(D127*_xlfn.NORM.DIST(K127,0,1,TRUE)-G127*_xlfn.NORM.DIST(L127,0,1,TRUE))</f>
        <v>4621.3826714290053</v>
      </c>
      <c r="N127" s="3">
        <f>EXP(-E127*J127)*(G127*_xlfn.NORM.DIST(-L127,0,1,TRUE)-D127*_xlfn.NORM.DIST(-K127,0,1,TRUE))</f>
        <v>9972.3333310364633</v>
      </c>
      <c r="O127" s="3" t="b">
        <f>(M127-N127)=EXP(-E127*J127)*(D127-G127)</f>
        <v>1</v>
      </c>
    </row>
    <row r="128" spans="1:15" x14ac:dyDescent="0.3">
      <c r="A128" s="1">
        <v>45987</v>
      </c>
      <c r="B128" t="s">
        <v>17</v>
      </c>
      <c r="C128">
        <v>49559.07</v>
      </c>
      <c r="D128">
        <v>49021.959600000002</v>
      </c>
      <c r="E128" s="2">
        <v>1.0328586915258465E-2</v>
      </c>
      <c r="F128" s="1">
        <v>46913</v>
      </c>
      <c r="G128">
        <v>59470.884000000005</v>
      </c>
      <c r="H128">
        <v>0.21321599999999999</v>
      </c>
      <c r="J128" s="3">
        <f>(F128-A128)/365</f>
        <v>2.536986301369863</v>
      </c>
      <c r="K128" s="3">
        <f>(LN(D128/G128)+H128^2*J128/2)/(H128*SQRT(J128))</f>
        <v>-0.39914005344116521</v>
      </c>
      <c r="L128" s="3">
        <f>K128-H128*SQRT(J128)</f>
        <v>-0.73874878890594831</v>
      </c>
      <c r="M128" s="3">
        <f>EXP(-E128*J128)*(D128*_xlfn.NORM.DIST(K128,0,1,TRUE)-G128*_xlfn.NORM.DIST(L128,0,1,TRUE))</f>
        <v>3143.8852790371693</v>
      </c>
      <c r="N128" s="3">
        <f>EXP(-E128*J128)*(G128*_xlfn.NORM.DIST(-L128,0,1,TRUE)-D128*_xlfn.NORM.DIST(-K128,0,1,TRUE))</f>
        <v>13322.567565819762</v>
      </c>
      <c r="O128" s="3" t="b">
        <f>(M128-N128)=EXP(-E128*J128)*(D128-G128)</f>
        <v>1</v>
      </c>
    </row>
    <row r="129" spans="1:15" x14ac:dyDescent="0.3">
      <c r="A129" s="1">
        <v>45987</v>
      </c>
      <c r="B129" t="s">
        <v>17</v>
      </c>
      <c r="C129">
        <v>49559.07</v>
      </c>
      <c r="D129">
        <v>49021.959600000002</v>
      </c>
      <c r="E129" s="2">
        <v>1.0328586915258465E-2</v>
      </c>
      <c r="F129" s="1">
        <v>46913</v>
      </c>
      <c r="G129">
        <v>64426.790999999997</v>
      </c>
      <c r="H129">
        <v>0.211062</v>
      </c>
      <c r="J129" s="3">
        <f>(F129-A129)/365</f>
        <v>2.536986301369863</v>
      </c>
      <c r="K129" s="3">
        <f>(LN(D129/G129)+H129^2*J129/2)/(H129*SQRT(J129))</f>
        <v>-0.64475817895011167</v>
      </c>
      <c r="L129" s="3">
        <f>K129-H129*SQRT(J129)</f>
        <v>-0.98093604048333649</v>
      </c>
      <c r="M129" s="3">
        <f>EXP(-E129*J129)*(D129*_xlfn.NORM.DIST(K129,0,1,TRUE)-G129*_xlfn.NORM.DIST(L129,0,1,TRUE))</f>
        <v>2144.638211428578</v>
      </c>
      <c r="N129" s="3">
        <f>EXP(-E129*J129)*(G129*_xlfn.NORM.DIST(-L129,0,1,TRUE)-D129*_xlfn.NORM.DIST(-K129,0,1,TRUE))</f>
        <v>17151.052125386279</v>
      </c>
      <c r="O129" s="3" t="b">
        <f>(M129-N129)=EXP(-E129*J129)*(D129-G129)</f>
        <v>1</v>
      </c>
    </row>
    <row r="130" spans="1:15" x14ac:dyDescent="0.3">
      <c r="A130" s="1">
        <v>45987</v>
      </c>
      <c r="B130" t="s">
        <v>17</v>
      </c>
      <c r="C130">
        <v>49559.07</v>
      </c>
      <c r="D130">
        <v>49021.959600000002</v>
      </c>
      <c r="E130" s="2">
        <v>1.0328586915258465E-2</v>
      </c>
      <c r="F130" s="1">
        <v>46913</v>
      </c>
      <c r="G130">
        <v>69382.698000000004</v>
      </c>
      <c r="H130">
        <v>0.21163199999999999</v>
      </c>
      <c r="J130" s="3">
        <f>(F130-A130)/365</f>
        <v>2.536986301369863</v>
      </c>
      <c r="K130" s="3">
        <f>(LN(D130/G130)+H130^2*J130/2)/(H130*SQRT(J130))</f>
        <v>-0.86196396694829192</v>
      </c>
      <c r="L130" s="3">
        <f>K130-H130*SQRT(J130)</f>
        <v>-1.1990497199118733</v>
      </c>
      <c r="M130" s="3">
        <f>EXP(-E130*J130)*(D130*_xlfn.NORM.DIST(K130,0,1,TRUE)-G130*_xlfn.NORM.DIST(L130,0,1,TRUE))</f>
        <v>1491.3481607198994</v>
      </c>
      <c r="N130" s="3">
        <f>EXP(-E130*J130)*(G130*_xlfn.NORM.DIST(-L130,0,1,TRUE)-D130*_xlfn.NORM.DIST(-K130,0,1,TRUE))</f>
        <v>21325.493701852727</v>
      </c>
      <c r="O130" s="3" t="b">
        <f>(M130-N130)=EXP(-E130*J130)*(D130-G130)</f>
        <v>1</v>
      </c>
    </row>
    <row r="131" spans="1:15" x14ac:dyDescent="0.3">
      <c r="A131" s="1">
        <v>45987</v>
      </c>
      <c r="B131" t="s">
        <v>17</v>
      </c>
      <c r="C131">
        <v>49559.07</v>
      </c>
      <c r="D131">
        <v>49021.959600000002</v>
      </c>
      <c r="E131" s="2">
        <v>1.0328586915258465E-2</v>
      </c>
      <c r="F131" s="1">
        <v>46913</v>
      </c>
      <c r="G131">
        <v>74338.604999999996</v>
      </c>
      <c r="H131">
        <v>0.21409400000000001</v>
      </c>
      <c r="J131" s="3">
        <f>(F131-A131)/365</f>
        <v>2.536986301369863</v>
      </c>
      <c r="K131" s="3">
        <f>(LN(D131/G131)+H131^2*J131/2)/(H131*SQRT(J131))</f>
        <v>-1.0504736615961028</v>
      </c>
      <c r="L131" s="3">
        <f>K131-H131*SQRT(J131)</f>
        <v>-1.3914808684220317</v>
      </c>
      <c r="M131" s="3">
        <f>EXP(-E131*J131)*(D131*_xlfn.NORM.DIST(K131,0,1,TRUE)-G131*_xlfn.NORM.DIST(L131,0,1,TRUE))</f>
        <v>1066.92905653192</v>
      </c>
      <c r="N131" s="3">
        <f>EXP(-E131*J131)*(G131*_xlfn.NORM.DIST(-L131,0,1,TRUE)-D131*_xlfn.NORM.DIST(-K131,0,1,TRUE))</f>
        <v>25728.806224839864</v>
      </c>
      <c r="O131" s="3" t="b">
        <f>(M131-N131)=EXP(-E131*J131)*(D131-G131)</f>
        <v>1</v>
      </c>
    </row>
    <row r="132" spans="1:15" x14ac:dyDescent="0.3">
      <c r="A132" s="1">
        <v>45987</v>
      </c>
      <c r="B132" t="s">
        <v>17</v>
      </c>
      <c r="C132">
        <v>49559.07</v>
      </c>
      <c r="D132">
        <v>49002.699460000003</v>
      </c>
      <c r="E132" s="2">
        <v>1.090476730856314E-2</v>
      </c>
      <c r="F132" s="1">
        <v>47095</v>
      </c>
      <c r="G132">
        <v>24779.535</v>
      </c>
      <c r="H132">
        <v>0.326542</v>
      </c>
      <c r="J132" s="3">
        <f>(F132-A132)/365</f>
        <v>3.0356164383561643</v>
      </c>
      <c r="K132" s="3">
        <f>(LN(D132/G132)+H132^2*J132/2)/(H132*SQRT(J132))</f>
        <v>1.482947928781424</v>
      </c>
      <c r="L132" s="3">
        <f>K132-H132*SQRT(J132)</f>
        <v>0.91401313230908732</v>
      </c>
      <c r="M132" s="3">
        <f>EXP(-E132*J132)*(D132*_xlfn.NORM.DIST(K132,0,1,TRUE)-G132*_xlfn.NORM.DIST(L132,0,1,TRUE))</f>
        <v>24484.849637598691</v>
      </c>
      <c r="N132" s="3">
        <f>EXP(-E132*J132)*(G132*_xlfn.NORM.DIST(-L132,0,1,TRUE)-D132*_xlfn.NORM.DIST(-K132,0,1,TRUE))</f>
        <v>1050.4106144442744</v>
      </c>
      <c r="O132" s="3" t="b">
        <f>(M132-N132)=EXP(-E132*J132)*(D132-G132)</f>
        <v>1</v>
      </c>
    </row>
    <row r="133" spans="1:15" x14ac:dyDescent="0.3">
      <c r="A133" s="1">
        <v>45987</v>
      </c>
      <c r="B133" t="s">
        <v>17</v>
      </c>
      <c r="C133">
        <v>49559.07</v>
      </c>
      <c r="D133">
        <v>49002.699460000003</v>
      </c>
      <c r="E133" s="2">
        <v>1.090476730856314E-2</v>
      </c>
      <c r="F133" s="1">
        <v>47095</v>
      </c>
      <c r="G133">
        <v>29735.442000000003</v>
      </c>
      <c r="H133">
        <v>0.29854199999999997</v>
      </c>
      <c r="J133" s="3">
        <f>(F133-A133)/365</f>
        <v>3.0356164383561643</v>
      </c>
      <c r="K133" s="3">
        <f>(LN(D133/G133)+H133^2*J133/2)/(H133*SQRT(J133))</f>
        <v>1.2204431293965097</v>
      </c>
      <c r="L133" s="3">
        <f>K133-H133*SQRT(J133)</f>
        <v>0.70029279036372272</v>
      </c>
      <c r="M133" s="3">
        <f>EXP(-E133*J133)*(D133*_xlfn.NORM.DIST(K133,0,1,TRUE)-G133*_xlfn.NORM.DIST(L133,0,1,TRUE))</f>
        <v>20328.66496101037</v>
      </c>
      <c r="N133" s="3">
        <f>EXP(-E133*J133)*(G133*_xlfn.NORM.DIST(-L133,0,1,TRUE)-D133*_xlfn.NORM.DIST(-K133,0,1,TRUE))</f>
        <v>1688.7646773218853</v>
      </c>
      <c r="O133" s="3" t="b">
        <f>(M133-N133)=EXP(-E133*J133)*(D133-G133)</f>
        <v>1</v>
      </c>
    </row>
    <row r="134" spans="1:15" x14ac:dyDescent="0.3">
      <c r="A134" s="1">
        <v>45987</v>
      </c>
      <c r="B134" t="s">
        <v>17</v>
      </c>
      <c r="C134">
        <v>49559.07</v>
      </c>
      <c r="D134">
        <v>49002.699460000003</v>
      </c>
      <c r="E134" s="2">
        <v>1.090476730856314E-2</v>
      </c>
      <c r="F134" s="1">
        <v>47095</v>
      </c>
      <c r="G134">
        <v>34691.349000000002</v>
      </c>
      <c r="H134">
        <v>0.27509899999999998</v>
      </c>
      <c r="J134" s="3">
        <f>(F134-A134)/365</f>
        <v>3.0356164383561643</v>
      </c>
      <c r="K134" s="3">
        <f>(LN(D134/G134)+H134^2*J134/2)/(H134*SQRT(J134))</f>
        <v>0.96024747522568188</v>
      </c>
      <c r="L134" s="3">
        <f>K134-H134*SQRT(J134)</f>
        <v>0.48094192318415785</v>
      </c>
      <c r="M134" s="3">
        <f>EXP(-E134*J134)*(D134*_xlfn.NORM.DIST(K134,0,1,TRUE)-G134*_xlfn.NORM.DIST(L134,0,1,TRUE))</f>
        <v>16440.220746878738</v>
      </c>
      <c r="N134" s="3">
        <f>EXP(-E134*J134)*(G134*_xlfn.NORM.DIST(-L134,0,1,TRUE)-D134*_xlfn.NORM.DIST(-K134,0,1,TRUE))</f>
        <v>2594.8592026561714</v>
      </c>
      <c r="O134" s="3" t="b">
        <f>(M134-N134)=EXP(-E134*J134)*(D134-G134)</f>
        <v>1</v>
      </c>
    </row>
    <row r="135" spans="1:15" x14ac:dyDescent="0.3">
      <c r="A135" s="1">
        <v>45987</v>
      </c>
      <c r="B135" t="s">
        <v>17</v>
      </c>
      <c r="C135">
        <v>49559.07</v>
      </c>
      <c r="D135">
        <v>49002.699460000003</v>
      </c>
      <c r="E135" s="2">
        <v>1.090476730856314E-2</v>
      </c>
      <c r="F135" s="1">
        <v>47095</v>
      </c>
      <c r="G135">
        <v>39647.256000000001</v>
      </c>
      <c r="H135">
        <v>0.255521</v>
      </c>
      <c r="J135" s="3">
        <f>(F135-A135)/365</f>
        <v>3.0356164383561643</v>
      </c>
      <c r="K135" s="3">
        <f>(LN(D135/G135)+H135^2*J135/2)/(H135*SQRT(J135))</f>
        <v>0.69846472140410554</v>
      </c>
      <c r="L135" s="3">
        <f>K135-H135*SQRT(J135)</f>
        <v>0.25326995892513515</v>
      </c>
      <c r="M135" s="3">
        <f>EXP(-E135*J135)*(D135*_xlfn.NORM.DIST(K135,0,1,TRUE)-G135*_xlfn.NORM.DIST(L135,0,1,TRUE))</f>
        <v>12900.94794821267</v>
      </c>
      <c r="N135" s="3">
        <f>EXP(-E135*J135)*(G135*_xlfn.NORM.DIST(-L135,0,1,TRUE)-D135*_xlfn.NORM.DIST(-K135,0,1,TRUE))</f>
        <v>3850.1251434560249</v>
      </c>
      <c r="O135" s="3" t="b">
        <f>(M135-N135)=EXP(-E135*J135)*(D135-G135)</f>
        <v>0</v>
      </c>
    </row>
    <row r="136" spans="1:15" x14ac:dyDescent="0.3">
      <c r="A136" s="1">
        <v>45987</v>
      </c>
      <c r="B136" t="s">
        <v>17</v>
      </c>
      <c r="C136">
        <v>49559.07</v>
      </c>
      <c r="D136">
        <v>49002.699460000003</v>
      </c>
      <c r="E136" s="2">
        <v>1.090476730856314E-2</v>
      </c>
      <c r="F136" s="1">
        <v>47095</v>
      </c>
      <c r="G136">
        <v>44603.163</v>
      </c>
      <c r="H136">
        <v>0.23954700000000001</v>
      </c>
      <c r="J136" s="3">
        <f>(F136-A136)/365</f>
        <v>3.0356164383561643</v>
      </c>
      <c r="K136" s="3">
        <f>(LN(D136/G136)+H136^2*J136/2)/(H136*SQRT(J136))</f>
        <v>0.43407428274386772</v>
      </c>
      <c r="L136" s="3">
        <f>K136-H136*SQRT(J136)</f>
        <v>1.6711053234160445E-2</v>
      </c>
      <c r="M136" s="3">
        <f>EXP(-E136*J136)*(D136*_xlfn.NORM.DIST(K136,0,1,TRUE)-G136*_xlfn.NORM.DIST(L136,0,1,TRUE))</f>
        <v>9799.3194998376875</v>
      </c>
      <c r="N136" s="3">
        <f>EXP(-E136*J136)*(G136*_xlfn.NORM.DIST(-L136,0,1,TRUE)-D136*_xlfn.NORM.DIST(-K136,0,1,TRUE))</f>
        <v>5543.0354345469577</v>
      </c>
      <c r="O136" s="3" t="b">
        <f>(M136-N136)=EXP(-E136*J136)*(D136-G136)</f>
        <v>1</v>
      </c>
    </row>
    <row r="137" spans="1:15" x14ac:dyDescent="0.3">
      <c r="A137" s="1">
        <v>45987</v>
      </c>
      <c r="B137" t="s">
        <v>17</v>
      </c>
      <c r="C137">
        <v>49559.07</v>
      </c>
      <c r="D137">
        <v>49002.699460000003</v>
      </c>
      <c r="E137" s="2">
        <v>1.090476730856314E-2</v>
      </c>
      <c r="F137" s="1">
        <v>47095</v>
      </c>
      <c r="G137">
        <v>47081.116500000004</v>
      </c>
      <c r="H137">
        <v>0.232901</v>
      </c>
      <c r="J137" s="3">
        <f>(F137-A137)/365</f>
        <v>3.0356164383561643</v>
      </c>
      <c r="K137" s="3">
        <f>(LN(D137/G137)+H137^2*J137/2)/(H137*SQRT(J137))</f>
        <v>0.30147493841888101</v>
      </c>
      <c r="L137" s="3">
        <f>K137-H137*SQRT(J137)</f>
        <v>-0.10430895165713888</v>
      </c>
      <c r="M137" s="3">
        <f>EXP(-E137*J137)*(D137*_xlfn.NORM.DIST(K137,0,1,TRUE)-G137*_xlfn.NORM.DIST(L137,0,1,TRUE))</f>
        <v>8437.9852658080054</v>
      </c>
      <c r="N137" s="3">
        <f>EXP(-E137*J137)*(G137*_xlfn.NORM.DIST(-L137,0,1,TRUE)-D137*_xlfn.NORM.DIST(-K137,0,1,TRUE))</f>
        <v>6578.9705702502424</v>
      </c>
      <c r="O137" s="3" t="b">
        <f>(M137-N137)=EXP(-E137*J137)*(D137-G137)</f>
        <v>1</v>
      </c>
    </row>
    <row r="138" spans="1:15" x14ac:dyDescent="0.3">
      <c r="A138" s="1">
        <v>45987</v>
      </c>
      <c r="B138" t="s">
        <v>17</v>
      </c>
      <c r="C138">
        <v>49559.07</v>
      </c>
      <c r="D138">
        <v>49002.699460000003</v>
      </c>
      <c r="E138" s="2">
        <v>1.090476730856314E-2</v>
      </c>
      <c r="F138" s="1">
        <v>47095</v>
      </c>
      <c r="G138">
        <v>49559.07</v>
      </c>
      <c r="H138">
        <v>0.227156</v>
      </c>
      <c r="J138" s="3">
        <f>(F138-A138)/365</f>
        <v>3.0356164383561643</v>
      </c>
      <c r="K138" s="3">
        <f>(LN(D138/G138)+H138^2*J138/2)/(H138*SQRT(J138))</f>
        <v>0.16936107044238702</v>
      </c>
      <c r="L138" s="3">
        <f>K138-H138*SQRT(J138)</f>
        <v>-0.22641329434826812</v>
      </c>
      <c r="M138" s="3">
        <f>EXP(-E138*J138)*(D138*_xlfn.NORM.DIST(K138,0,1,TRUE)-G138*_xlfn.NORM.DIST(L138,0,1,TRUE))</f>
        <v>7212.6918272961129</v>
      </c>
      <c r="N138" s="3">
        <f>EXP(-E138*J138)*(G138*_xlfn.NORM.DIST(-L138,0,1,TRUE)-D138*_xlfn.NORM.DIST(-K138,0,1,TRUE))</f>
        <v>7750.946501471306</v>
      </c>
      <c r="O138" s="3" t="b">
        <f>(M138-N138)=EXP(-E138*J138)*(D138-G138)</f>
        <v>0</v>
      </c>
    </row>
    <row r="139" spans="1:15" x14ac:dyDescent="0.3">
      <c r="A139" s="1">
        <v>45987</v>
      </c>
      <c r="B139" t="s">
        <v>17</v>
      </c>
      <c r="C139">
        <v>49559.07</v>
      </c>
      <c r="D139">
        <v>49002.699460000003</v>
      </c>
      <c r="E139" s="2">
        <v>1.090476730856314E-2</v>
      </c>
      <c r="F139" s="1">
        <v>47095</v>
      </c>
      <c r="G139">
        <v>52037.023499999996</v>
      </c>
      <c r="H139">
        <v>0.22231400000000001</v>
      </c>
      <c r="J139" s="3">
        <f>(F139-A139)/365</f>
        <v>3.0356164383561643</v>
      </c>
      <c r="K139" s="3">
        <f>(LN(D139/G139)+H139^2*J139/2)/(H139*SQRT(J139))</f>
        <v>3.8558941637152552E-2</v>
      </c>
      <c r="L139" s="3">
        <f>K139-H139*SQRT(J139)</f>
        <v>-0.34877919662056334</v>
      </c>
      <c r="M139" s="3">
        <f>EXP(-E139*J139)*(D139*_xlfn.NORM.DIST(K139,0,1,TRUE)-G139*_xlfn.NORM.DIST(L139,0,1,TRUE))</f>
        <v>6126.6632588378343</v>
      </c>
      <c r="N139" s="3">
        <f>EXP(-E139*J139)*(G139*_xlfn.NORM.DIST(-L139,0,1,TRUE)-D139*_xlfn.NORM.DIST(-K139,0,1,TRUE))</f>
        <v>9062.187302745986</v>
      </c>
      <c r="O139" s="3" t="b">
        <f>(M139-N139)=EXP(-E139*J139)*(D139-G139)</f>
        <v>1</v>
      </c>
    </row>
    <row r="140" spans="1:15" x14ac:dyDescent="0.3">
      <c r="A140" s="1">
        <v>45987</v>
      </c>
      <c r="B140" t="s">
        <v>17</v>
      </c>
      <c r="C140">
        <v>49559.07</v>
      </c>
      <c r="D140">
        <v>49002.699460000003</v>
      </c>
      <c r="E140" s="2">
        <v>1.090476730856314E-2</v>
      </c>
      <c r="F140" s="1">
        <v>47095</v>
      </c>
      <c r="G140">
        <v>54514.976999999999</v>
      </c>
      <c r="H140">
        <v>0.218363</v>
      </c>
      <c r="J140" s="3">
        <f>(F140-A140)/365</f>
        <v>3.0356164383561643</v>
      </c>
      <c r="K140" s="3">
        <f>(LN(D140/G140)+H140^2*J140/2)/(H140*SQRT(J140))</f>
        <v>-8.9964405991186241E-2</v>
      </c>
      <c r="L140" s="3">
        <f>K140-H140*SQRT(J140)</f>
        <v>-0.47041870884377135</v>
      </c>
      <c r="M140" s="3">
        <f>EXP(-E140*J140)*(D140*_xlfn.NORM.DIST(K140,0,1,TRUE)-G140*_xlfn.NORM.DIST(L140,0,1,TRUE))</f>
        <v>5178.8775344180985</v>
      </c>
      <c r="N140" s="3">
        <f>EXP(-E140*J140)*(G140*_xlfn.NORM.DIST(-L140,0,1,TRUE)-D140*_xlfn.NORM.DIST(-K140,0,1,TRUE))</f>
        <v>10511.670948059211</v>
      </c>
      <c r="O140" s="3" t="b">
        <f>(M140-N140)=EXP(-E140*J140)*(D140-G140)</f>
        <v>1</v>
      </c>
    </row>
    <row r="141" spans="1:15" x14ac:dyDescent="0.3">
      <c r="A141" s="1">
        <v>45987</v>
      </c>
      <c r="B141" t="s">
        <v>17</v>
      </c>
      <c r="C141">
        <v>49559.07</v>
      </c>
      <c r="D141">
        <v>49002.699460000003</v>
      </c>
      <c r="E141" s="2">
        <v>1.090476730856314E-2</v>
      </c>
      <c r="F141" s="1">
        <v>47095</v>
      </c>
      <c r="G141">
        <v>59470.884000000005</v>
      </c>
      <c r="H141">
        <v>0.21301</v>
      </c>
      <c r="J141" s="3">
        <f>(F141-A141)/365</f>
        <v>3.0356164383561643</v>
      </c>
      <c r="K141" s="3">
        <f>(LN(D141/G141)+H141^2*J141/2)/(H141*SQRT(J141))</f>
        <v>-0.33612024476696045</v>
      </c>
      <c r="L141" s="3">
        <f>K141-H141*SQRT(J141)</f>
        <v>-0.70724800473833449</v>
      </c>
      <c r="M141" s="3">
        <f>EXP(-E141*J141)*(D141*_xlfn.NORM.DIST(K141,0,1,TRUE)-G141*_xlfn.NORM.DIST(L141,0,1,TRUE))</f>
        <v>3672.951070847555</v>
      </c>
      <c r="N141" s="3">
        <f>EXP(-E141*J141)*(G141*_xlfn.NORM.DIST(-L141,0,1,TRUE)-D141*_xlfn.NORM.DIST(-K141,0,1,TRUE))</f>
        <v>13800.283223954599</v>
      </c>
      <c r="O141" s="3" t="b">
        <f>(M141-N141)=EXP(-E141*J141)*(D141-G141)</f>
        <v>1</v>
      </c>
    </row>
    <row r="142" spans="1:15" x14ac:dyDescent="0.3">
      <c r="A142" s="1">
        <v>45987</v>
      </c>
      <c r="B142" t="s">
        <v>17</v>
      </c>
      <c r="C142">
        <v>49559.07</v>
      </c>
      <c r="D142">
        <v>49002.699460000003</v>
      </c>
      <c r="E142" s="2">
        <v>1.090476730856314E-2</v>
      </c>
      <c r="F142" s="1">
        <v>47095</v>
      </c>
      <c r="G142">
        <v>64426.790999999997</v>
      </c>
      <c r="H142">
        <v>0.21066199999999999</v>
      </c>
      <c r="J142" s="3">
        <f>(F142-A142)/365</f>
        <v>3.0356164383561643</v>
      </c>
      <c r="K142" s="3">
        <f>(LN(D142/G142)+H142^2*J142/2)/(H142*SQRT(J142))</f>
        <v>-0.56205843593368776</v>
      </c>
      <c r="L142" s="3">
        <f>K142-H142*SQRT(J142)</f>
        <v>-0.9290952706883453</v>
      </c>
      <c r="M142" s="3">
        <f>EXP(-E142*J142)*(D142*_xlfn.NORM.DIST(K142,0,1,TRUE)-G142*_xlfn.NORM.DIST(L142,0,1,TRUE))</f>
        <v>2611.5794986264477</v>
      </c>
      <c r="N142" s="3">
        <f>EXP(-E142*J142)*(G142*_xlfn.NORM.DIST(-L142,0,1,TRUE)-D142*_xlfn.NORM.DIST(-K142,0,1,TRUE))</f>
        <v>17533.4503911994</v>
      </c>
      <c r="O142" s="3" t="b">
        <f>(M142-N142)=EXP(-E142*J142)*(D142-G142)</f>
        <v>1</v>
      </c>
    </row>
    <row r="143" spans="1:15" x14ac:dyDescent="0.3">
      <c r="A143" s="1">
        <v>45987</v>
      </c>
      <c r="B143" t="s">
        <v>17</v>
      </c>
      <c r="C143">
        <v>49559.07</v>
      </c>
      <c r="D143">
        <v>49002.699460000003</v>
      </c>
      <c r="E143" s="2">
        <v>1.090476730856314E-2</v>
      </c>
      <c r="F143" s="1">
        <v>47095</v>
      </c>
      <c r="G143">
        <v>69382.698000000004</v>
      </c>
      <c r="H143">
        <v>0.21068500000000001</v>
      </c>
      <c r="J143" s="3">
        <f>(F143-A143)/365</f>
        <v>3.0356164383561643</v>
      </c>
      <c r="K143" s="3">
        <f>(LN(D143/G143)+H143^2*J143/2)/(H143*SQRT(J143))</f>
        <v>-0.76384377903474709</v>
      </c>
      <c r="L143" s="3">
        <f>K143-H143*SQRT(J143)</f>
        <v>-1.1309206867365873</v>
      </c>
      <c r="M143" s="3">
        <f>EXP(-E143*J143)*(D143*_xlfn.NORM.DIST(K143,0,1,TRUE)-G143*_xlfn.NORM.DIST(L143,0,1,TRUE))</f>
        <v>1885.2406897837186</v>
      </c>
      <c r="N143" s="3">
        <f>EXP(-E143*J143)*(G143*_xlfn.NORM.DIST(-L143,0,1,TRUE)-D143*_xlfn.NORM.DIST(-K143,0,1,TRUE))</f>
        <v>21601.650321822592</v>
      </c>
      <c r="O143" s="3" t="b">
        <f>(M143-N143)=EXP(-E143*J143)*(D143-G143)</f>
        <v>1</v>
      </c>
    </row>
    <row r="144" spans="1:15" x14ac:dyDescent="0.3">
      <c r="A144" s="1">
        <v>45987</v>
      </c>
      <c r="B144" t="s">
        <v>17</v>
      </c>
      <c r="C144">
        <v>49559.07</v>
      </c>
      <c r="D144">
        <v>49002.699460000003</v>
      </c>
      <c r="E144" s="2">
        <v>1.090476730856314E-2</v>
      </c>
      <c r="F144" s="1">
        <v>47095</v>
      </c>
      <c r="G144">
        <v>74338.604999999996</v>
      </c>
      <c r="H144">
        <v>0.212418</v>
      </c>
      <c r="J144" s="3">
        <f>(F144-A144)/365</f>
        <v>3.0356164383561643</v>
      </c>
      <c r="K144" s="3">
        <f>(LN(D144/G144)+H144^2*J144/2)/(H144*SQRT(J144))</f>
        <v>-0.9410236033557714</v>
      </c>
      <c r="L144" s="3">
        <f>K144-H144*SQRT(J144)</f>
        <v>-1.3111199205127093</v>
      </c>
      <c r="M144" s="3">
        <f>EXP(-E144*J144)*(D144*_xlfn.NORM.DIST(K144,0,1,TRUE)-G144*_xlfn.NORM.DIST(L144,0,1,TRUE))</f>
        <v>1392.208680614779</v>
      </c>
      <c r="N144" s="3">
        <f>EXP(-E144*J144)*(G144*_xlfn.NORM.DIST(-L144,0,1,TRUE)-D144*_xlfn.NORM.DIST(-K144,0,1,TRUE))</f>
        <v>25903.157052119575</v>
      </c>
      <c r="O144" s="3" t="b">
        <f>(M144-N144)=EXP(-E144*J144)*(D144-G144)</f>
        <v>1</v>
      </c>
    </row>
    <row r="145" spans="1:15" x14ac:dyDescent="0.3">
      <c r="A145" s="1">
        <v>45987</v>
      </c>
      <c r="B145" t="s">
        <v>17</v>
      </c>
      <c r="C145">
        <v>49559.07</v>
      </c>
      <c r="D145">
        <v>48995.473409999999</v>
      </c>
      <c r="E145" s="2">
        <v>1.1853534745231691E-2</v>
      </c>
      <c r="F145" s="1">
        <v>47466</v>
      </c>
      <c r="G145">
        <v>24779.535</v>
      </c>
      <c r="H145">
        <v>0.30938599999999999</v>
      </c>
      <c r="J145" s="3">
        <f>(F145-A145)/365</f>
        <v>4.0520547945205481</v>
      </c>
      <c r="K145" s="3">
        <f>(LN(D145/G145)+H145^2*J145/2)/(H145*SQRT(J145))</f>
        <v>1.4060071974397499</v>
      </c>
      <c r="L145" s="3">
        <f>K145-H145*SQRT(J145)</f>
        <v>0.78322195584944376</v>
      </c>
      <c r="M145" s="3">
        <f>EXP(-E145*J145)*(D145*_xlfn.NORM.DIST(K145,0,1,TRUE)-G145*_xlfn.NORM.DIST(L145,0,1,TRUE))</f>
        <v>24470.027960542393</v>
      </c>
      <c r="N145" s="3">
        <f>EXP(-E145*J145)*(G145*_xlfn.NORM.DIST(-L145,0,1,TRUE)-D145*_xlfn.NORM.DIST(-K145,0,1,TRUE))</f>
        <v>1389.7183536501207</v>
      </c>
      <c r="O145" s="3" t="b">
        <f>(M145-N145)=EXP(-E145*J145)*(D145-G145)</f>
        <v>1</v>
      </c>
    </row>
    <row r="146" spans="1:15" x14ac:dyDescent="0.3">
      <c r="A146" s="1">
        <v>45987</v>
      </c>
      <c r="B146" t="s">
        <v>17</v>
      </c>
      <c r="C146">
        <v>49559.07</v>
      </c>
      <c r="D146">
        <v>48995.473409999999</v>
      </c>
      <c r="E146" s="2">
        <v>1.1853534745231691E-2</v>
      </c>
      <c r="F146" s="1">
        <v>47466</v>
      </c>
      <c r="G146">
        <v>29735.442000000003</v>
      </c>
      <c r="H146">
        <v>0.28531299999999998</v>
      </c>
      <c r="J146" s="3">
        <f>(F146-A146)/365</f>
        <v>4.0520547945205481</v>
      </c>
      <c r="K146" s="3">
        <f>(LN(D146/G146)+H146^2*J146/2)/(H146*SQRT(J146))</f>
        <v>1.1566825388977786</v>
      </c>
      <c r="L146" s="3">
        <f>K146-H146*SQRT(J146)</f>
        <v>0.58235556342424399</v>
      </c>
      <c r="M146" s="3">
        <f>EXP(-E146*J146)*(D146*_xlfn.NORM.DIST(K146,0,1,TRUE)-G146*_xlfn.NORM.DIST(L146,0,1,TRUE))</f>
        <v>20520.358225160624</v>
      </c>
      <c r="N146" s="3">
        <f>EXP(-E146*J146)*(G146*_xlfn.NORM.DIST(-L146,0,1,TRUE)-D146*_xlfn.NORM.DIST(-K146,0,1,TRUE))</f>
        <v>2163.5437810958911</v>
      </c>
      <c r="O146" s="3" t="b">
        <f>(M146-N146)=EXP(-E146*J146)*(D146-G146)</f>
        <v>1</v>
      </c>
    </row>
    <row r="147" spans="1:15" x14ac:dyDescent="0.3">
      <c r="A147" s="1">
        <v>45987</v>
      </c>
      <c r="B147" t="s">
        <v>17</v>
      </c>
      <c r="C147">
        <v>49559.07</v>
      </c>
      <c r="D147">
        <v>48995.473409999999</v>
      </c>
      <c r="E147" s="2">
        <v>1.1853534745231691E-2</v>
      </c>
      <c r="F147" s="1">
        <v>47466</v>
      </c>
      <c r="G147">
        <v>34691.349000000002</v>
      </c>
      <c r="H147">
        <v>0.26536500000000002</v>
      </c>
      <c r="J147" s="3">
        <f>(F147-A147)/365</f>
        <v>4.0520547945205481</v>
      </c>
      <c r="K147" s="3">
        <f>(LN(D147/G147)+H147^2*J147/2)/(H147*SQRT(J147))</f>
        <v>0.91338997048637105</v>
      </c>
      <c r="L147" s="3">
        <f>K147-H147*SQRT(J147)</f>
        <v>0.37921775314424311</v>
      </c>
      <c r="M147" s="3">
        <f>EXP(-E147*J147)*(D147*_xlfn.NORM.DIST(K147,0,1,TRUE)-G147*_xlfn.NORM.DIST(L147,0,1,TRUE))</f>
        <v>16850.884764867584</v>
      </c>
      <c r="N147" s="3">
        <f>EXP(-E147*J147)*(G147*_xlfn.NORM.DIST(-L147,0,1,TRUE)-D147*_xlfn.NORM.DIST(-K147,0,1,TRUE))</f>
        <v>3217.5654836303897</v>
      </c>
      <c r="O147" s="3" t="b">
        <f>(M147-N147)=EXP(-E147*J147)*(D147-G147)</f>
        <v>1</v>
      </c>
    </row>
    <row r="148" spans="1:15" x14ac:dyDescent="0.3">
      <c r="A148" s="1">
        <v>45987</v>
      </c>
      <c r="B148" t="s">
        <v>17</v>
      </c>
      <c r="C148">
        <v>49559.07</v>
      </c>
      <c r="D148">
        <v>48995.473409999999</v>
      </c>
      <c r="E148" s="2">
        <v>1.1853534745231691E-2</v>
      </c>
      <c r="F148" s="1">
        <v>47466</v>
      </c>
      <c r="G148">
        <v>39647.256000000001</v>
      </c>
      <c r="H148">
        <v>0.24888099999999999</v>
      </c>
      <c r="J148" s="3">
        <f>(F148-A148)/365</f>
        <v>4.0520547945205481</v>
      </c>
      <c r="K148" s="3">
        <f>(LN(D148/G148)+H148^2*J148/2)/(H148*SQRT(J148))</f>
        <v>0.67307051388197592</v>
      </c>
      <c r="L148" s="3">
        <f>K148-H148*SQRT(J148)</f>
        <v>0.17208012093518144</v>
      </c>
      <c r="M148" s="3">
        <f>EXP(-E148*J148)*(D148*_xlfn.NORM.DIST(K148,0,1,TRUE)-G148*_xlfn.NORM.DIST(L148,0,1,TRUE))</f>
        <v>13526.888852316748</v>
      </c>
      <c r="N148" s="3">
        <f>EXP(-E148*J148)*(G148*_xlfn.NORM.DIST(-L148,0,1,TRUE)-D148*_xlfn.NORM.DIST(-K148,0,1,TRUE))</f>
        <v>4617.0647339070947</v>
      </c>
      <c r="O148" s="3" t="b">
        <f>(M148-N148)=EXP(-E148*J148)*(D148-G148)</f>
        <v>1</v>
      </c>
    </row>
    <row r="149" spans="1:15" x14ac:dyDescent="0.3">
      <c r="A149" s="1">
        <v>45987</v>
      </c>
      <c r="B149" t="s">
        <v>17</v>
      </c>
      <c r="C149">
        <v>49559.07</v>
      </c>
      <c r="D149">
        <v>48995.473409999999</v>
      </c>
      <c r="E149" s="2">
        <v>1.1853534745231691E-2</v>
      </c>
      <c r="F149" s="1">
        <v>47466</v>
      </c>
      <c r="G149">
        <v>44603.163</v>
      </c>
      <c r="H149">
        <v>0.235545</v>
      </c>
      <c r="J149" s="3">
        <f>(F149-A149)/365</f>
        <v>4.0520547945205481</v>
      </c>
      <c r="K149" s="3">
        <f>(LN(D149/G149)+H149^2*J149/2)/(H149*SQRT(J149))</f>
        <v>0.43516201772514046</v>
      </c>
      <c r="L149" s="3">
        <f>K149-H149*SQRT(J149)</f>
        <v>-3.8983385526424441E-2</v>
      </c>
      <c r="M149" s="3">
        <f>EXP(-E149*J149)*(D149*_xlfn.NORM.DIST(K149,0,1,TRUE)-G149*_xlfn.NORM.DIST(L149,0,1,TRUE))</f>
        <v>10612.330915665112</v>
      </c>
      <c r="N149" s="3">
        <f>EXP(-E149*J149)*(G149*_xlfn.NORM.DIST(-L149,0,1,TRUE)-D149*_xlfn.NORM.DIST(-K149,0,1,TRUE))</f>
        <v>6426.0019600830065</v>
      </c>
      <c r="O149" s="3" t="b">
        <f>(M149-N149)=EXP(-E149*J149)*(D149-G149)</f>
        <v>1</v>
      </c>
    </row>
    <row r="150" spans="1:15" x14ac:dyDescent="0.3">
      <c r="A150" s="1">
        <v>45987</v>
      </c>
      <c r="B150" t="s">
        <v>17</v>
      </c>
      <c r="C150">
        <v>49559.07</v>
      </c>
      <c r="D150">
        <v>48995.473409999999</v>
      </c>
      <c r="E150" s="2">
        <v>1.1853534745231691E-2</v>
      </c>
      <c r="F150" s="1">
        <v>47466</v>
      </c>
      <c r="G150">
        <v>47081.116500000004</v>
      </c>
      <c r="H150">
        <v>0.23000599999999999</v>
      </c>
      <c r="J150" s="3">
        <f>(F150-A150)/365</f>
        <v>4.0520547945205481</v>
      </c>
      <c r="K150" s="3">
        <f>(LN(D150/G150)+H150^2*J150/2)/(H150*SQRT(J150))</f>
        <v>0.31758049843569114</v>
      </c>
      <c r="L150" s="3">
        <f>K150-H150*SQRT(J150)</f>
        <v>-0.14541505494170776</v>
      </c>
      <c r="M150" s="3">
        <f>EXP(-E150*J150)*(D150*_xlfn.NORM.DIST(K150,0,1,TRUE)-G150*_xlfn.NORM.DIST(L150,0,1,TRUE))</f>
        <v>9324.8093635229361</v>
      </c>
      <c r="N150" s="3">
        <f>EXP(-E150*J150)*(G150*_xlfn.NORM.DIST(-L150,0,1,TRUE)-D150*_xlfn.NORM.DIST(-K150,0,1,TRUE))</f>
        <v>7500.2279893546038</v>
      </c>
      <c r="O150" s="3" t="b">
        <f>(M150-N150)=EXP(-E150*J150)*(D150-G150)</f>
        <v>1</v>
      </c>
    </row>
    <row r="151" spans="1:15" x14ac:dyDescent="0.3">
      <c r="A151" s="1">
        <v>45987</v>
      </c>
      <c r="B151" t="s">
        <v>17</v>
      </c>
      <c r="C151">
        <v>49559.07</v>
      </c>
      <c r="D151">
        <v>48995.473409999999</v>
      </c>
      <c r="E151" s="2">
        <v>1.1853534745231691E-2</v>
      </c>
      <c r="F151" s="1">
        <v>47466</v>
      </c>
      <c r="G151">
        <v>49559.07</v>
      </c>
      <c r="H151">
        <v>0.22520200000000001</v>
      </c>
      <c r="J151" s="3">
        <f>(F151-A151)/365</f>
        <v>4.0520547945205481</v>
      </c>
      <c r="K151" s="3">
        <f>(LN(D151/G151)+H151^2*J151/2)/(H151*SQRT(J151))</f>
        <v>0.20143266018754274</v>
      </c>
      <c r="L151" s="3">
        <f>K151-H151*SQRT(J151)</f>
        <v>-0.25189257746580979</v>
      </c>
      <c r="M151" s="3">
        <f>EXP(-E151*J151)*(D151*_xlfn.NORM.DIST(K151,0,1,TRUE)-G151*_xlfn.NORM.DIST(L151,0,1,TRUE))</f>
        <v>8155.7744344596458</v>
      </c>
      <c r="N151" s="3">
        <f>EXP(-E151*J151)*(G151*_xlfn.NORM.DIST(-L151,0,1,TRUE)-D151*_xlfn.NORM.DIST(-K151,0,1,TRUE))</f>
        <v>8692.9406417050814</v>
      </c>
      <c r="O151" s="3" t="b">
        <f>(M151-N151)=EXP(-E151*J151)*(D151-G151)</f>
        <v>0</v>
      </c>
    </row>
    <row r="152" spans="1:15" x14ac:dyDescent="0.3">
      <c r="A152" s="1">
        <v>45987</v>
      </c>
      <c r="B152" t="s">
        <v>17</v>
      </c>
      <c r="C152">
        <v>49559.07</v>
      </c>
      <c r="D152">
        <v>48995.473409999999</v>
      </c>
      <c r="E152" s="2">
        <v>1.1853534745231691E-2</v>
      </c>
      <c r="F152" s="1">
        <v>47466</v>
      </c>
      <c r="G152">
        <v>52037.023499999996</v>
      </c>
      <c r="H152">
        <v>0.22111600000000001</v>
      </c>
      <c r="J152" s="3">
        <f>(F152-A152)/365</f>
        <v>4.0520547945205481</v>
      </c>
      <c r="K152" s="3">
        <f>(LN(D152/G152)+H152^2*J152/2)/(H152*SQRT(J152))</f>
        <v>8.7237807533456044E-2</v>
      </c>
      <c r="L152" s="3">
        <f>K152-H152*SQRT(J152)</f>
        <v>-0.35786242802821167</v>
      </c>
      <c r="M152" s="3">
        <f>EXP(-E152*J152)*(D152*_xlfn.NORM.DIST(K152,0,1,TRUE)-G152*_xlfn.NORM.DIST(L152,0,1,TRUE))</f>
        <v>7106.1711881221418</v>
      </c>
      <c r="N152" s="3">
        <f>EXP(-E152*J152)*(G152*_xlfn.NORM.DIST(-L152,0,1,TRUE)-D152*_xlfn.NORM.DIST(-K152,0,1,TRUE))</f>
        <v>10005.084976781338</v>
      </c>
      <c r="O152" s="3" t="b">
        <f>(M152-N152)=EXP(-E152*J152)*(D152-G152)</f>
        <v>1</v>
      </c>
    </row>
    <row r="153" spans="1:15" x14ac:dyDescent="0.3">
      <c r="A153" s="1">
        <v>45987</v>
      </c>
      <c r="B153" t="s">
        <v>17</v>
      </c>
      <c r="C153">
        <v>49559.07</v>
      </c>
      <c r="D153">
        <v>48995.473409999999</v>
      </c>
      <c r="E153" s="2">
        <v>1.1853534745231691E-2</v>
      </c>
      <c r="F153" s="1">
        <v>47466</v>
      </c>
      <c r="G153">
        <v>54514.976999999999</v>
      </c>
      <c r="H153">
        <v>0.217726</v>
      </c>
      <c r="J153" s="3">
        <f>(F153-A153)/365</f>
        <v>4.0520547945205481</v>
      </c>
      <c r="K153" s="3">
        <f>(LN(D153/G153)+H153^2*J153/2)/(H153*SQRT(J153))</f>
        <v>-2.4424129113869857E-2</v>
      </c>
      <c r="L153" s="3">
        <f>K153-H153*SQRT(J153)</f>
        <v>-0.46270039084029252</v>
      </c>
      <c r="M153" s="3">
        <f>EXP(-E153*J153)*(D153*_xlfn.NORM.DIST(K153,0,1,TRUE)-G153*_xlfn.NORM.DIST(L153,0,1,TRUE))</f>
        <v>6174.2370328443876</v>
      </c>
      <c r="N153" s="3">
        <f>EXP(-E153*J153)*(G153*_xlfn.NORM.DIST(-L153,0,1,TRUE)-D153*_xlfn.NORM.DIST(-K153,0,1,TRUE))</f>
        <v>11434.898402917368</v>
      </c>
      <c r="O153" s="3" t="b">
        <f>(M153-N153)=EXP(-E153*J153)*(D153-G153)</f>
        <v>1</v>
      </c>
    </row>
    <row r="154" spans="1:15" x14ac:dyDescent="0.3">
      <c r="A154" s="1">
        <v>45987</v>
      </c>
      <c r="B154" t="s">
        <v>17</v>
      </c>
      <c r="C154">
        <v>49559.07</v>
      </c>
      <c r="D154">
        <v>48995.473409999999</v>
      </c>
      <c r="E154" s="2">
        <v>1.1853534745231691E-2</v>
      </c>
      <c r="F154" s="1">
        <v>47466</v>
      </c>
      <c r="G154">
        <v>59470.884000000005</v>
      </c>
      <c r="H154">
        <v>0.21290200000000001</v>
      </c>
      <c r="J154" s="3">
        <f>(F154-A154)/365</f>
        <v>4.0520547945205481</v>
      </c>
      <c r="K154" s="3">
        <f>(LN(D154/G154)+H154^2*J154/2)/(H154*SQRT(J154))</f>
        <v>-0.2378273929332772</v>
      </c>
      <c r="L154" s="3">
        <f>K154-H154*SQRT(J154)</f>
        <v>-0.66639307950299709</v>
      </c>
      <c r="M154" s="3">
        <f>EXP(-E154*J154)*(D154*_xlfn.NORM.DIST(K154,0,1,TRUE)-G154*_xlfn.NORM.DIST(L154,0,1,TRUE))</f>
        <v>4642.9288193803031</v>
      </c>
      <c r="N154" s="3">
        <f>EXP(-E154*J154)*(G154*_xlfn.NORM.DIST(-L154,0,1,TRUE)-D154*_xlfn.NORM.DIST(-K154,0,1,TRUE))</f>
        <v>14627.08535228083</v>
      </c>
      <c r="O154" s="3" t="b">
        <f>(M154-N154)=EXP(-E154*J154)*(D154-G154)</f>
        <v>0</v>
      </c>
    </row>
    <row r="155" spans="1:15" x14ac:dyDescent="0.3">
      <c r="A155" s="1">
        <v>45987</v>
      </c>
      <c r="B155" t="s">
        <v>17</v>
      </c>
      <c r="C155">
        <v>49559.07</v>
      </c>
      <c r="D155">
        <v>48995.473409999999</v>
      </c>
      <c r="E155" s="2">
        <v>1.1853534745231691E-2</v>
      </c>
      <c r="F155" s="1">
        <v>47466</v>
      </c>
      <c r="G155">
        <v>64426.790999999997</v>
      </c>
      <c r="H155">
        <v>0.21038399999999999</v>
      </c>
      <c r="J155" s="3">
        <f>(F155-A155)/365</f>
        <v>4.0520547945205481</v>
      </c>
      <c r="K155" s="3">
        <f>(LN(D155/G155)+H155^2*J155/2)/(H155*SQRT(J155))</f>
        <v>-0.43477702642982402</v>
      </c>
      <c r="L155" s="3">
        <f>K155-H155*SQRT(J155)</f>
        <v>-0.85827405042811411</v>
      </c>
      <c r="M155" s="3">
        <f>EXP(-E155*J155)*(D155*_xlfn.NORM.DIST(K155,0,1,TRUE)-G155*_xlfn.NORM.DIST(L155,0,1,TRUE))</f>
        <v>3500.4113416854457</v>
      </c>
      <c r="N155" s="3">
        <f>EXP(-E155*J155)*(G155*_xlfn.NORM.DIST(-L155,0,1,TRUE)-D155*_xlfn.NORM.DIST(-K155,0,1,TRUE))</f>
        <v>18208.063037413503</v>
      </c>
      <c r="O155" s="3" t="b">
        <f>(M155-N155)=EXP(-E155*J155)*(D155-G155)</f>
        <v>1</v>
      </c>
    </row>
    <row r="156" spans="1:15" x14ac:dyDescent="0.3">
      <c r="A156" s="1">
        <v>45987</v>
      </c>
      <c r="B156" t="s">
        <v>17</v>
      </c>
      <c r="C156">
        <v>49559.07</v>
      </c>
      <c r="D156">
        <v>48995.473409999999</v>
      </c>
      <c r="E156" s="2">
        <v>1.1853534745231691E-2</v>
      </c>
      <c r="F156" s="1">
        <v>47466</v>
      </c>
      <c r="G156">
        <v>69382.698000000004</v>
      </c>
      <c r="H156">
        <v>0.209735</v>
      </c>
      <c r="J156" s="3">
        <f>(F156-A156)/365</f>
        <v>4.0520547945205481</v>
      </c>
      <c r="K156" s="3">
        <f>(LN(D156/G156)+H156^2*J156/2)/(H156*SQRT(J156))</f>
        <v>-0.61296285766281644</v>
      </c>
      <c r="L156" s="3">
        <f>K156-H156*SQRT(J156)</f>
        <v>-1.035153463071409</v>
      </c>
      <c r="M156" s="3">
        <f>EXP(-E156*J156)*(D156*_xlfn.NORM.DIST(K156,0,1,TRUE)-G156*_xlfn.NORM.DIST(L156,0,1,TRUE))</f>
        <v>2667.000637226231</v>
      </c>
      <c r="N156" s="3">
        <f>EXP(-E156*J156)*(G156*_xlfn.NORM.DIST(-L156,0,1,TRUE)-D156*_xlfn.NORM.DIST(-K156,0,1,TRUE))</f>
        <v>22098.147495781828</v>
      </c>
      <c r="O156" s="3" t="b">
        <f>(M156-N156)=EXP(-E156*J156)*(D156-G156)</f>
        <v>1</v>
      </c>
    </row>
    <row r="157" spans="1:15" x14ac:dyDescent="0.3">
      <c r="A157" s="1">
        <v>45987</v>
      </c>
      <c r="B157" t="s">
        <v>17</v>
      </c>
      <c r="C157">
        <v>49559.07</v>
      </c>
      <c r="D157">
        <v>48995.473409999999</v>
      </c>
      <c r="E157" s="2">
        <v>1.1853534745231691E-2</v>
      </c>
      <c r="F157" s="1">
        <v>47466</v>
      </c>
      <c r="G157">
        <v>74338.604999999996</v>
      </c>
      <c r="H157">
        <v>0.210505</v>
      </c>
      <c r="J157" s="3">
        <f>(F157-A157)/365</f>
        <v>4.0520547945205481</v>
      </c>
      <c r="K157" s="3">
        <f>(LN(D157/G157)+H157^2*J157/2)/(H157*SQRT(J157))</f>
        <v>-0.77199221588293687</v>
      </c>
      <c r="L157" s="3">
        <f>K157-H157*SQRT(J157)</f>
        <v>-1.1957328094487976</v>
      </c>
      <c r="M157" s="3">
        <f>EXP(-E157*J157)*(D157*_xlfn.NORM.DIST(K157,0,1,TRUE)-G157*_xlfn.NORM.DIST(L157,0,1,TRUE))</f>
        <v>2064.4659705246686</v>
      </c>
      <c r="N157" s="3">
        <f>EXP(-E157*J157)*(G157*_xlfn.NORM.DIST(-L157,0,1,TRUE)-D157*_xlfn.NORM.DIST(-K157,0,1,TRUE))</f>
        <v>26219.107991907807</v>
      </c>
      <c r="O157" s="3" t="b">
        <f>(M157-N157)=EXP(-E157*J157)*(D157-G157)</f>
        <v>1</v>
      </c>
    </row>
    <row r="158" spans="1:15" x14ac:dyDescent="0.3">
      <c r="A158" s="1">
        <v>45987</v>
      </c>
      <c r="B158" t="s">
        <v>17</v>
      </c>
      <c r="C158">
        <v>49559.07</v>
      </c>
      <c r="D158">
        <v>49032.204380000003</v>
      </c>
      <c r="E158" s="2">
        <v>1.26213333179474E-2</v>
      </c>
      <c r="F158" s="1">
        <v>47830</v>
      </c>
      <c r="G158">
        <v>24779.535</v>
      </c>
      <c r="H158">
        <v>0.298319</v>
      </c>
      <c r="J158" s="3">
        <f>(F158-A158)/365</f>
        <v>5.0493150684931507</v>
      </c>
      <c r="K158" s="3">
        <f>(LN(D158/G158)+H158^2*J158/2)/(H158*SQRT(J158))</f>
        <v>1.3532460207334438</v>
      </c>
      <c r="L158" s="3">
        <f>K158-H158*SQRT(J158)</f>
        <v>0.68290291071895382</v>
      </c>
      <c r="M158" s="3">
        <f>EXP(-E158*J158)*(D158*_xlfn.NORM.DIST(K158,0,1,TRUE)-G158*_xlfn.NORM.DIST(L158,0,1,TRUE))</f>
        <v>24457.809583021648</v>
      </c>
      <c r="N158" s="3">
        <f>EXP(-E158*J158)*(G158*_xlfn.NORM.DIST(-L158,0,1,TRUE)-D158*_xlfn.NORM.DIST(-K158,0,1,TRUE))</f>
        <v>1702.520618268341</v>
      </c>
      <c r="O158" s="3" t="b">
        <f>(M158-N158)=EXP(-E158*J158)*(D158-G158)</f>
        <v>1</v>
      </c>
    </row>
    <row r="159" spans="1:15" x14ac:dyDescent="0.3">
      <c r="A159" s="1">
        <v>45987</v>
      </c>
      <c r="B159" t="s">
        <v>17</v>
      </c>
      <c r="C159">
        <v>49559.07</v>
      </c>
      <c r="D159">
        <v>49032.204380000003</v>
      </c>
      <c r="E159" s="2">
        <v>1.26213333179474E-2</v>
      </c>
      <c r="F159" s="1">
        <v>47830</v>
      </c>
      <c r="G159">
        <v>29735.442000000003</v>
      </c>
      <c r="H159">
        <v>0.27685599999999999</v>
      </c>
      <c r="J159" s="3">
        <f>(F159-A159)/365</f>
        <v>5.0493150684931507</v>
      </c>
      <c r="K159" s="3">
        <f>(LN(D159/G159)+H159^2*J159/2)/(H159*SQRT(J159))</f>
        <v>1.114989245851453</v>
      </c>
      <c r="L159" s="3">
        <f>K159-H159*SQRT(J159)</f>
        <v>0.49287495857450569</v>
      </c>
      <c r="M159" s="3">
        <f>EXP(-E159*J159)*(D159*_xlfn.NORM.DIST(K159,0,1,TRUE)-G159*_xlfn.NORM.DIST(L159,0,1,TRUE))</f>
        <v>20691.215714428075</v>
      </c>
      <c r="N159" s="3">
        <f>EXP(-E159*J159)*(G159*_xlfn.NORM.DIST(-L159,0,1,TRUE)-D159*_xlfn.NORM.DIST(-K159,0,1,TRUE))</f>
        <v>2585.8518404131187</v>
      </c>
      <c r="O159" s="3" t="b">
        <f>(M159-N159)=EXP(-E159*J159)*(D159-G159)</f>
        <v>1</v>
      </c>
    </row>
    <row r="160" spans="1:15" x14ac:dyDescent="0.3">
      <c r="A160" s="1">
        <v>45987</v>
      </c>
      <c r="B160" t="s">
        <v>17</v>
      </c>
      <c r="C160">
        <v>49559.07</v>
      </c>
      <c r="D160">
        <v>49032.204380000003</v>
      </c>
      <c r="E160" s="2">
        <v>1.26213333179474E-2</v>
      </c>
      <c r="F160" s="1">
        <v>47830</v>
      </c>
      <c r="G160">
        <v>34691.349000000002</v>
      </c>
      <c r="H160">
        <v>0.25919900000000001</v>
      </c>
      <c r="J160" s="3">
        <f>(F160-A160)/365</f>
        <v>5.0493150684931507</v>
      </c>
      <c r="K160" s="3">
        <f>(LN(D160/G160)+H160^2*J160/2)/(H160*SQRT(J160))</f>
        <v>0.88525137045392865</v>
      </c>
      <c r="L160" s="3">
        <f>K160-H160*SQRT(J160)</f>
        <v>0.3028135647069069</v>
      </c>
      <c r="M160" s="3">
        <f>EXP(-E160*J160)*(D160*_xlfn.NORM.DIST(K160,0,1,TRUE)-G160*_xlfn.NORM.DIST(L160,0,1,TRUE))</f>
        <v>17207.900293312538</v>
      </c>
      <c r="N160" s="3">
        <f>EXP(-E160*J160)*(G160*_xlfn.NORM.DIST(-L160,0,1,TRUE)-D160*_xlfn.NORM.DIST(-K160,0,1,TRUE))</f>
        <v>3752.4615100359274</v>
      </c>
      <c r="O160" s="3" t="b">
        <f>(M160-N160)=EXP(-E160*J160)*(D160-G160)</f>
        <v>1</v>
      </c>
    </row>
    <row r="161" spans="1:15" x14ac:dyDescent="0.3">
      <c r="A161" s="1">
        <v>45987</v>
      </c>
      <c r="B161" t="s">
        <v>17</v>
      </c>
      <c r="C161">
        <v>49559.07</v>
      </c>
      <c r="D161">
        <v>49032.204380000003</v>
      </c>
      <c r="E161" s="2">
        <v>1.26213333179474E-2</v>
      </c>
      <c r="F161" s="1">
        <v>47830</v>
      </c>
      <c r="G161">
        <v>39647.256000000001</v>
      </c>
      <c r="H161">
        <v>0.24470800000000001</v>
      </c>
      <c r="J161" s="3">
        <f>(F161-A161)/365</f>
        <v>5.0493150684931507</v>
      </c>
      <c r="K161" s="3">
        <f>(LN(D161/G161)+H161^2*J161/2)/(H161*SQRT(J161))</f>
        <v>0.66130806414100829</v>
      </c>
      <c r="L161" s="3">
        <f>K161-H161*SQRT(J161)</f>
        <v>0.11143252230349265</v>
      </c>
      <c r="M161" s="3">
        <f>EXP(-E161*J161)*(D161*_xlfn.NORM.DIST(K161,0,1,TRUE)-G161*_xlfn.NORM.DIST(L161,0,1,TRUE))</f>
        <v>14060.136339311466</v>
      </c>
      <c r="N161" s="3">
        <f>EXP(-E161*J161)*(G161*_xlfn.NORM.DIST(-L161,0,1,TRUE)-D161*_xlfn.NORM.DIST(-K161,0,1,TRUE))</f>
        <v>5254.6226467732013</v>
      </c>
      <c r="O161" s="3" t="b">
        <f>(M161-N161)=EXP(-E161*J161)*(D161-G161)</f>
        <v>1</v>
      </c>
    </row>
    <row r="162" spans="1:15" x14ac:dyDescent="0.3">
      <c r="A162" s="1">
        <v>45987</v>
      </c>
      <c r="B162" t="s">
        <v>17</v>
      </c>
      <c r="C162">
        <v>49559.07</v>
      </c>
      <c r="D162">
        <v>49032.204380000003</v>
      </c>
      <c r="E162" s="2">
        <v>1.26213333179474E-2</v>
      </c>
      <c r="F162" s="1">
        <v>47830</v>
      </c>
      <c r="G162">
        <v>44603.163</v>
      </c>
      <c r="H162">
        <v>0.23303199999999999</v>
      </c>
      <c r="J162" s="3">
        <f>(F162-A162)/365</f>
        <v>5.0493150684931507</v>
      </c>
      <c r="K162" s="3">
        <f>(LN(D162/G162)+H162^2*J162/2)/(H162*SQRT(J162))</f>
        <v>0.44261680581617241</v>
      </c>
      <c r="L162" s="3">
        <f>K162-H162*SQRT(J162)</f>
        <v>-8.102196882740248E-2</v>
      </c>
      <c r="M162" s="3">
        <f>EXP(-E162*J162)*(D162*_xlfn.NORM.DIST(K162,0,1,TRUE)-G162*_xlfn.NORM.DIST(L162,0,1,TRUE))</f>
        <v>11294.868203837466</v>
      </c>
      <c r="N162" s="3">
        <f>EXP(-E162*J162)*(G162*_xlfn.NORM.DIST(-L162,0,1,TRUE)-D162*_xlfn.NORM.DIST(-K162,0,1,TRUE))</f>
        <v>7139.2796020375508</v>
      </c>
      <c r="O162" s="3" t="b">
        <f>(M162-N162)=EXP(-E162*J162)*(D162-G162)</f>
        <v>0</v>
      </c>
    </row>
    <row r="163" spans="1:15" x14ac:dyDescent="0.3">
      <c r="A163" s="1">
        <v>45987</v>
      </c>
      <c r="B163" t="s">
        <v>17</v>
      </c>
      <c r="C163">
        <v>49559.07</v>
      </c>
      <c r="D163">
        <v>49032.204380000003</v>
      </c>
      <c r="E163" s="2">
        <v>1.26213333179474E-2</v>
      </c>
      <c r="F163" s="1">
        <v>47830</v>
      </c>
      <c r="G163">
        <v>47081.116500000004</v>
      </c>
      <c r="H163">
        <v>0.228182</v>
      </c>
      <c r="J163" s="3">
        <f>(F163-A163)/365</f>
        <v>5.0493150684931507</v>
      </c>
      <c r="K163" s="3">
        <f>(LN(D163/G163)+H163^2*J163/2)/(H163*SQRT(J163))</f>
        <v>0.33556297303439708</v>
      </c>
      <c r="L163" s="3">
        <f>K163-H163*SQRT(J163)</f>
        <v>-0.17717752129994413</v>
      </c>
      <c r="M163" s="3">
        <f>EXP(-E163*J163)*(D163*_xlfn.NORM.DIST(K163,0,1,TRUE)-G163*_xlfn.NORM.DIST(L163,0,1,TRUE))</f>
        <v>10066.486678045969</v>
      </c>
      <c r="N163" s="3">
        <f>EXP(-E163*J163)*(G163*_xlfn.NORM.DIST(-L163,0,1,TRUE)-D163*_xlfn.NORM.DIST(-K163,0,1,TRUE))</f>
        <v>8235.8606216152348</v>
      </c>
      <c r="O163" s="3" t="b">
        <f>(M163-N163)=EXP(-E163*J163)*(D163-G163)</f>
        <v>0</v>
      </c>
    </row>
    <row r="164" spans="1:15" x14ac:dyDescent="0.3">
      <c r="A164" s="1">
        <v>45987</v>
      </c>
      <c r="B164" t="s">
        <v>17</v>
      </c>
      <c r="C164">
        <v>49559.07</v>
      </c>
      <c r="D164">
        <v>49032.204380000003</v>
      </c>
      <c r="E164" s="2">
        <v>1.26213333179474E-2</v>
      </c>
      <c r="F164" s="1">
        <v>47830</v>
      </c>
      <c r="G164">
        <v>49559.07</v>
      </c>
      <c r="H164">
        <v>0.22395899999999999</v>
      </c>
      <c r="J164" s="3">
        <f>(F164-A164)/365</f>
        <v>5.0493150684931507</v>
      </c>
      <c r="K164" s="3">
        <f>(LN(D164/G164)+H164^2*J164/2)/(H164*SQRT(J164))</f>
        <v>0.23038770281245446</v>
      </c>
      <c r="L164" s="3">
        <f>K164-H164*SQRT(J164)</f>
        <v>-0.27286342291448595</v>
      </c>
      <c r="M164" s="3">
        <f>EXP(-E164*J164)*(D164*_xlfn.NORM.DIST(K164,0,1,TRUE)-G164*_xlfn.NORM.DIST(L164,0,1,TRUE))</f>
        <v>8943.7388259039235</v>
      </c>
      <c r="N164" s="3">
        <f>EXP(-E164*J164)*(G164*_xlfn.NORM.DIST(-L164,0,1,TRUE)-D164*_xlfn.NORM.DIST(-K164,0,1,TRUE))</f>
        <v>9438.0753148423555</v>
      </c>
      <c r="O164" s="3" t="b">
        <f>(M164-N164)=EXP(-E164*J164)*(D164-G164)</f>
        <v>0</v>
      </c>
    </row>
    <row r="165" spans="1:15" x14ac:dyDescent="0.3">
      <c r="A165" s="1">
        <v>45987</v>
      </c>
      <c r="B165" t="s">
        <v>17</v>
      </c>
      <c r="C165">
        <v>49559.07</v>
      </c>
      <c r="D165">
        <v>49032.204380000003</v>
      </c>
      <c r="E165" s="2">
        <v>1.26213333179474E-2</v>
      </c>
      <c r="F165" s="1">
        <v>47830</v>
      </c>
      <c r="G165">
        <v>52037.023499999996</v>
      </c>
      <c r="H165">
        <v>0.22034200000000001</v>
      </c>
      <c r="J165" s="3">
        <f>(F165-A165)/365</f>
        <v>5.0493150684931507</v>
      </c>
      <c r="K165" s="3">
        <f>(LN(D165/G165)+H165^2*J165/2)/(H165*SQRT(J165))</f>
        <v>0.12743384583447087</v>
      </c>
      <c r="L165" s="3">
        <f>K165-H165*SQRT(J165)</f>
        <v>-0.36768963455669684</v>
      </c>
      <c r="M165" s="3">
        <f>EXP(-E165*J165)*(D165*_xlfn.NORM.DIST(K165,0,1,TRUE)-G165*_xlfn.NORM.DIST(L165,0,1,TRUE))</f>
        <v>7926.587378703689</v>
      </c>
      <c r="N165" s="3">
        <f>EXP(-E165*J165)*(G165*_xlfn.NORM.DIST(-L165,0,1,TRUE)-D165*_xlfn.NORM.DIST(-K165,0,1,TRUE))</f>
        <v>10745.886413011291</v>
      </c>
      <c r="O165" s="3" t="b">
        <f>(M165-N165)=EXP(-E165*J165)*(D165-G165)</f>
        <v>1</v>
      </c>
    </row>
    <row r="166" spans="1:15" x14ac:dyDescent="0.3">
      <c r="A166" s="1">
        <v>45987</v>
      </c>
      <c r="B166" t="s">
        <v>17</v>
      </c>
      <c r="C166">
        <v>49559.07</v>
      </c>
      <c r="D166">
        <v>49032.204380000003</v>
      </c>
      <c r="E166" s="2">
        <v>1.26213333179474E-2</v>
      </c>
      <c r="F166" s="1">
        <v>47830</v>
      </c>
      <c r="G166">
        <v>54514.976999999999</v>
      </c>
      <c r="H166">
        <v>0.217303</v>
      </c>
      <c r="J166" s="3">
        <f>(F166-A166)/365</f>
        <v>5.0493150684931507</v>
      </c>
      <c r="K166" s="3">
        <f>(LN(D166/G166)+H166^2*J166/2)/(H166*SQRT(J166))</f>
        <v>2.7069048181827326E-2</v>
      </c>
      <c r="L166" s="3">
        <f>K166-H166*SQRT(J166)</f>
        <v>-0.4612255922382556</v>
      </c>
      <c r="M166" s="3">
        <f>EXP(-E166*J166)*(D166*_xlfn.NORM.DIST(K166,0,1,TRUE)-G166*_xlfn.NORM.DIST(L166,0,1,TRUE))</f>
        <v>7012.8834488511438</v>
      </c>
      <c r="N166" s="3">
        <f>EXP(-E166*J166)*(G166*_xlfn.NORM.DIST(-L166,0,1,TRUE)-D166*_xlfn.NORM.DIST(-K166,0,1,TRUE))</f>
        <v>12157.145028527926</v>
      </c>
      <c r="O166" s="3" t="b">
        <f>(M166-N166)=EXP(-E166*J166)*(D166-G166)</f>
        <v>1</v>
      </c>
    </row>
    <row r="167" spans="1:15" x14ac:dyDescent="0.3">
      <c r="A167" s="1">
        <v>45987</v>
      </c>
      <c r="B167" t="s">
        <v>17</v>
      </c>
      <c r="C167">
        <v>49559.07</v>
      </c>
      <c r="D167">
        <v>49032.204380000003</v>
      </c>
      <c r="E167" s="2">
        <v>1.26213333179474E-2</v>
      </c>
      <c r="F167" s="1">
        <v>47830</v>
      </c>
      <c r="G167">
        <v>59470.884000000005</v>
      </c>
      <c r="H167">
        <v>0.212838</v>
      </c>
      <c r="J167" s="3">
        <f>(F167-A167)/365</f>
        <v>5.0493150684931507</v>
      </c>
      <c r="K167" s="3">
        <f>(LN(D167/G167)+H167^2*J167/2)/(H167*SQRT(J167))</f>
        <v>-0.16443413191286319</v>
      </c>
      <c r="L167" s="3">
        <f>K167-H167*SQRT(J167)</f>
        <v>-0.64269561324413615</v>
      </c>
      <c r="M167" s="3">
        <f>EXP(-E167*J167)*(D167*_xlfn.NORM.DIST(K167,0,1,TRUE)-G167*_xlfn.NORM.DIST(L167,0,1,TRUE))</f>
        <v>5478.5628608847792</v>
      </c>
      <c r="N167" s="3">
        <f>EXP(-E167*J167)*(G167*_xlfn.NORM.DIST(-L167,0,1,TRUE)-D167*_xlfn.NORM.DIST(-K167,0,1,TRUE))</f>
        <v>15272.749531299911</v>
      </c>
      <c r="O167" s="3" t="b">
        <f>(M167-N167)=EXP(-E167*J167)*(D167-G167)</f>
        <v>1</v>
      </c>
    </row>
    <row r="168" spans="1:15" x14ac:dyDescent="0.3">
      <c r="A168" s="1">
        <v>45987</v>
      </c>
      <c r="B168" t="s">
        <v>17</v>
      </c>
      <c r="C168">
        <v>49559.07</v>
      </c>
      <c r="D168">
        <v>49032.204380000003</v>
      </c>
      <c r="E168" s="2">
        <v>1.26213333179474E-2</v>
      </c>
      <c r="F168" s="1">
        <v>47830</v>
      </c>
      <c r="G168">
        <v>64426.790999999997</v>
      </c>
      <c r="H168">
        <v>0.21027100000000001</v>
      </c>
      <c r="J168" s="3">
        <f>(F168-A168)/365</f>
        <v>5.0493150684931507</v>
      </c>
      <c r="K168" s="3">
        <f>(LN(D168/G168)+H168^2*J168/2)/(H168*SQRT(J168))</f>
        <v>-0.34164995941775267</v>
      </c>
      <c r="L168" s="3">
        <f>K168-H168*SQRT(J168)</f>
        <v>-0.81414321692349922</v>
      </c>
      <c r="M168" s="3">
        <f>EXP(-E168*J168)*(D168*_xlfn.NORM.DIST(K168,0,1,TRUE)-G168*_xlfn.NORM.DIST(L168,0,1,TRUE))</f>
        <v>4291.7432613145756</v>
      </c>
      <c r="N168" s="3">
        <f>EXP(-E168*J168)*(G168*_xlfn.NORM.DIST(-L168,0,1,TRUE)-D168*_xlfn.NORM.DIST(-K168,0,1,TRUE))</f>
        <v>18735.855022468048</v>
      </c>
      <c r="O168" s="3" t="b">
        <f>(M168-N168)=EXP(-E168*J168)*(D168-G168)</f>
        <v>1</v>
      </c>
    </row>
    <row r="169" spans="1:15" x14ac:dyDescent="0.3">
      <c r="A169" s="1">
        <v>45987</v>
      </c>
      <c r="B169" t="s">
        <v>17</v>
      </c>
      <c r="C169">
        <v>49559.07</v>
      </c>
      <c r="D169">
        <v>49032.204380000003</v>
      </c>
      <c r="E169" s="2">
        <v>1.26213333179474E-2</v>
      </c>
      <c r="F169" s="1">
        <v>47830</v>
      </c>
      <c r="G169">
        <v>69382.698000000004</v>
      </c>
      <c r="H169">
        <v>0.20926400000000001</v>
      </c>
      <c r="J169" s="3">
        <f>(F169-A169)/365</f>
        <v>5.0493150684931507</v>
      </c>
      <c r="K169" s="3">
        <f>(LN(D169/G169)+H169^2*J169/2)/(H169*SQRT(J169))</f>
        <v>-0.50316151556403921</v>
      </c>
      <c r="L169" s="3">
        <f>K169-H169*SQRT(J169)</f>
        <v>-0.97339197548805423</v>
      </c>
      <c r="M169" s="3">
        <f>EXP(-E169*J169)*(D169*_xlfn.NORM.DIST(K169,0,1,TRUE)-G169*_xlfn.NORM.DIST(L169,0,1,TRUE))</f>
        <v>3390.0805897662681</v>
      </c>
      <c r="N169" s="3">
        <f>EXP(-E169*J169)*(G169*_xlfn.NORM.DIST(-L169,0,1,TRUE)-D169*_xlfn.NORM.DIST(-K169,0,1,TRUE))</f>
        <v>22484.117441658098</v>
      </c>
      <c r="O169" s="3" t="b">
        <f>(M169-N169)=EXP(-E169*J169)*(D169-G169)</f>
        <v>1</v>
      </c>
    </row>
    <row r="170" spans="1:15" x14ac:dyDescent="0.3">
      <c r="A170" s="1">
        <v>45987</v>
      </c>
      <c r="B170" t="s">
        <v>17</v>
      </c>
      <c r="C170">
        <v>49559.07</v>
      </c>
      <c r="D170">
        <v>49032.204380000003</v>
      </c>
      <c r="E170" s="2">
        <v>1.26213333179474E-2</v>
      </c>
      <c r="F170" s="1">
        <v>47830</v>
      </c>
      <c r="G170">
        <v>74338.604999999996</v>
      </c>
      <c r="H170">
        <v>0.20947499999999999</v>
      </c>
      <c r="J170" s="3">
        <f>(F170-A170)/365</f>
        <v>5.0493150684931507</v>
      </c>
      <c r="K170" s="3">
        <f>(LN(D170/G170)+H170^2*J170/2)/(H170*SQRT(J170))</f>
        <v>-0.64875440903298986</v>
      </c>
      <c r="L170" s="3">
        <f>K170-H170*SQRT(J170)</f>
        <v>-1.1194590003271592</v>
      </c>
      <c r="M170" s="3">
        <f>EXP(-E170*J170)*(D170*_xlfn.NORM.DIST(K170,0,1,TRUE)-G170*_xlfn.NORM.DIST(L170,0,1,TRUE))</f>
        <v>2710.6658664771098</v>
      </c>
      <c r="N170" s="3">
        <f>EXP(-E170*J170)*(G170*_xlfn.NORM.DIST(-L170,0,1,TRUE)-D170*_xlfn.NORM.DIST(-K170,0,1,TRUE))</f>
        <v>26454.627809107275</v>
      </c>
      <c r="O170" s="3" t="b">
        <f>(M170-N170)=EXP(-E170*J170)*(D170-G170)</f>
        <v>1</v>
      </c>
    </row>
    <row r="171" spans="1:15" x14ac:dyDescent="0.3">
      <c r="A171" s="1">
        <v>45987</v>
      </c>
      <c r="B171" t="s">
        <v>17</v>
      </c>
      <c r="C171">
        <v>49559.07</v>
      </c>
      <c r="D171">
        <v>49106.947950000002</v>
      </c>
      <c r="E171" s="2">
        <v>1.3315703302890083E-2</v>
      </c>
      <c r="F171" s="1">
        <v>48194</v>
      </c>
      <c r="G171">
        <v>24779.535</v>
      </c>
      <c r="H171">
        <v>0.29016399999999998</v>
      </c>
      <c r="J171" s="3">
        <f>(F171-A171)/365</f>
        <v>6.0465753424657533</v>
      </c>
      <c r="K171" s="3">
        <f>(LN(D171/G171)+H171^2*J171/2)/(H171*SQRT(J171))</f>
        <v>1.3153739405111953</v>
      </c>
      <c r="L171" s="3">
        <f>K171-H171*SQRT(J171)</f>
        <v>0.60186689837591578</v>
      </c>
      <c r="M171" s="3">
        <f>EXP(-E171*J171)*(D171*_xlfn.NORM.DIST(K171,0,1,TRUE)-G171*_xlfn.NORM.DIST(L171,0,1,TRUE))</f>
        <v>24433.748654678104</v>
      </c>
      <c r="N171" s="3">
        <f>EXP(-E171*J171)*(G171*_xlfn.NORM.DIST(-L171,0,1,TRUE)-D171*_xlfn.NORM.DIST(-K171,0,1,TRUE))</f>
        <v>1988.2650952914364</v>
      </c>
      <c r="O171" s="3" t="b">
        <f>(M171-N171)=EXP(-E171*J171)*(D171-G171)</f>
        <v>1</v>
      </c>
    </row>
    <row r="172" spans="1:15" x14ac:dyDescent="0.3">
      <c r="A172" s="1">
        <v>45987</v>
      </c>
      <c r="B172" t="s">
        <v>17</v>
      </c>
      <c r="C172">
        <v>49559.07</v>
      </c>
      <c r="D172">
        <v>49106.947950000002</v>
      </c>
      <c r="E172" s="2">
        <v>1.3315703302890083E-2</v>
      </c>
      <c r="F172" s="1">
        <v>48194</v>
      </c>
      <c r="G172">
        <v>29735.442000000003</v>
      </c>
      <c r="H172">
        <v>0.27065600000000001</v>
      </c>
      <c r="J172" s="3">
        <f>(F172-A172)/365</f>
        <v>6.0465753424657533</v>
      </c>
      <c r="K172" s="3">
        <f>(LN(D172/G172)+H172^2*J172/2)/(H172*SQRT(J172))</f>
        <v>1.0865368726706335</v>
      </c>
      <c r="L172" s="3">
        <f>K172-H172*SQRT(J172)</f>
        <v>0.42099958342673616</v>
      </c>
      <c r="M172" s="3">
        <f>EXP(-E172*J172)*(D172*_xlfn.NORM.DIST(K172,0,1,TRUE)-G172*_xlfn.NORM.DIST(L172,0,1,TRUE))</f>
        <v>20834.604115963026</v>
      </c>
      <c r="N172" s="3">
        <f>EXP(-E172*J172)*(G172*_xlfn.NORM.DIST(-L172,0,1,TRUE)-D172*_xlfn.NORM.DIST(-K172,0,1,TRUE))</f>
        <v>2961.6465920810683</v>
      </c>
      <c r="O172" s="3" t="b">
        <f>(M172-N172)=EXP(-E172*J172)*(D172-G172)</f>
        <v>1</v>
      </c>
    </row>
    <row r="173" spans="1:15" x14ac:dyDescent="0.3">
      <c r="A173" s="1">
        <v>45987</v>
      </c>
      <c r="B173" t="s">
        <v>17</v>
      </c>
      <c r="C173">
        <v>49559.07</v>
      </c>
      <c r="D173">
        <v>49106.947950000002</v>
      </c>
      <c r="E173" s="2">
        <v>1.3315703302890083E-2</v>
      </c>
      <c r="F173" s="1">
        <v>48194</v>
      </c>
      <c r="G173">
        <v>34691.349000000002</v>
      </c>
      <c r="H173">
        <v>0.25469799999999998</v>
      </c>
      <c r="J173" s="3">
        <f>(F173-A173)/365</f>
        <v>6.0465753424657533</v>
      </c>
      <c r="K173" s="3">
        <f>(LN(D173/G173)+H173^2*J173/2)/(H173*SQRT(J173))</f>
        <v>0.86801337260913192</v>
      </c>
      <c r="L173" s="3">
        <f>K173-H173*SQRT(J173)</f>
        <v>0.24171646252458867</v>
      </c>
      <c r="M173" s="3">
        <f>EXP(-E173*J173)*(D173*_xlfn.NORM.DIST(K173,0,1,TRUE)-G173*_xlfn.NORM.DIST(L173,0,1,TRUE))</f>
        <v>17516.957631639929</v>
      </c>
      <c r="N173" s="3">
        <f>EXP(-E173*J173)*(G173*_xlfn.NORM.DIST(-L173,0,1,TRUE)-D173*_xlfn.NORM.DIST(-K173,0,1,TRUE))</f>
        <v>4216.5261432626749</v>
      </c>
      <c r="O173" s="3" t="b">
        <f>(M173-N173)=EXP(-E173*J173)*(D173-G173)</f>
        <v>1</v>
      </c>
    </row>
    <row r="174" spans="1:15" x14ac:dyDescent="0.3">
      <c r="A174" s="1">
        <v>45987</v>
      </c>
      <c r="B174" t="s">
        <v>17</v>
      </c>
      <c r="C174">
        <v>49559.07</v>
      </c>
      <c r="D174">
        <v>49106.947950000002</v>
      </c>
      <c r="E174" s="2">
        <v>1.3315703302890083E-2</v>
      </c>
      <c r="F174" s="1">
        <v>48194</v>
      </c>
      <c r="G174">
        <v>39647.256000000001</v>
      </c>
      <c r="H174">
        <v>0.24166499999999999</v>
      </c>
      <c r="J174" s="3">
        <f>(F174-A174)/365</f>
        <v>6.0465753424657533</v>
      </c>
      <c r="K174" s="3">
        <f>(LN(D174/G174)+H174^2*J174/2)/(H174*SQRT(J174))</f>
        <v>0.65720720615412676</v>
      </c>
      <c r="L174" s="3">
        <f>K174-H174*SQRT(J174)</f>
        <v>6.2958163069449347E-2</v>
      </c>
      <c r="M174" s="3">
        <f>EXP(-E174*J174)*(D174*_xlfn.NORM.DIST(K174,0,1,TRUE)-G174*_xlfn.NORM.DIST(L174,0,1,TRUE))</f>
        <v>14522.539568147984</v>
      </c>
      <c r="N174" s="3">
        <f>EXP(-E174*J174)*(G174*_xlfn.NORM.DIST(-L174,0,1,TRUE)-D174*_xlfn.NORM.DIST(-K174,0,1,TRUE))</f>
        <v>5794.6341152754321</v>
      </c>
      <c r="O174" s="3" t="b">
        <f>(M174-N174)=EXP(-E174*J174)*(D174-G174)</f>
        <v>1</v>
      </c>
    </row>
    <row r="175" spans="1:15" x14ac:dyDescent="0.3">
      <c r="A175" s="1">
        <v>45987</v>
      </c>
      <c r="B175" t="s">
        <v>17</v>
      </c>
      <c r="C175">
        <v>49559.07</v>
      </c>
      <c r="D175">
        <v>49106.947950000002</v>
      </c>
      <c r="E175" s="2">
        <v>1.3315703302890083E-2</v>
      </c>
      <c r="F175" s="1">
        <v>48194</v>
      </c>
      <c r="G175">
        <v>44603.163</v>
      </c>
      <c r="H175">
        <v>0.23119100000000001</v>
      </c>
      <c r="J175" s="3">
        <f>(F175-A175)/365</f>
        <v>6.0465753424657533</v>
      </c>
      <c r="K175" s="3">
        <f>(LN(D175/G175)+H175^2*J175/2)/(H175*SQRT(J175))</f>
        <v>0.45345849710877306</v>
      </c>
      <c r="L175" s="3">
        <f>K175-H175*SQRT(J175)</f>
        <v>-0.11503520499864694</v>
      </c>
      <c r="M175" s="3">
        <f>EXP(-E175*J175)*(D175*_xlfn.NORM.DIST(K175,0,1,TRUE)-G175*_xlfn.NORM.DIST(L175,0,1,TRUE))</f>
        <v>11886.097887544631</v>
      </c>
      <c r="N175" s="3">
        <f>EXP(-E175*J175)*(G175*_xlfn.NORM.DIST(-L175,0,1,TRUE)-D175*_xlfn.NORM.DIST(-K175,0,1,TRUE))</f>
        <v>7730.7184701767765</v>
      </c>
      <c r="O175" s="3" t="b">
        <f>(M175-N175)=EXP(-E175*J175)*(D175-G175)</f>
        <v>1</v>
      </c>
    </row>
    <row r="176" spans="1:15" x14ac:dyDescent="0.3">
      <c r="A176" s="1">
        <v>45987</v>
      </c>
      <c r="B176" t="s">
        <v>17</v>
      </c>
      <c r="C176">
        <v>49559.07</v>
      </c>
      <c r="D176">
        <v>49106.947950000002</v>
      </c>
      <c r="E176" s="2">
        <v>1.3315703302890083E-2</v>
      </c>
      <c r="F176" s="1">
        <v>48194</v>
      </c>
      <c r="G176">
        <v>47081.116500000004</v>
      </c>
      <c r="H176">
        <v>0.22683500000000001</v>
      </c>
      <c r="J176" s="3">
        <f>(F176-A176)/365</f>
        <v>6.0465753424657533</v>
      </c>
      <c r="K176" s="3">
        <f>(LN(D176/G176)+H176^2*J176/2)/(H176*SQRT(J176))</f>
        <v>0.35441981500400144</v>
      </c>
      <c r="L176" s="3">
        <f>K176-H176*SQRT(J176)</f>
        <v>-0.20336257668744251</v>
      </c>
      <c r="M176" s="3">
        <f>EXP(-E176*J176)*(D176*_xlfn.NORM.DIST(K176,0,1,TRUE)-G176*_xlfn.NORM.DIST(L176,0,1,TRUE))</f>
        <v>10709.24317132641</v>
      </c>
      <c r="N176" s="3">
        <f>EXP(-E176*J176)*(G176*_xlfn.NORM.DIST(-L176,0,1,TRUE)-D176*_xlfn.NORM.DIST(-K176,0,1,TRUE))</f>
        <v>8840.1267717109149</v>
      </c>
      <c r="O176" s="3" t="b">
        <f>(M176-N176)=EXP(-E176*J176)*(D176-G176)</f>
        <v>1</v>
      </c>
    </row>
    <row r="177" spans="1:15" x14ac:dyDescent="0.3">
      <c r="A177" s="1">
        <v>45987</v>
      </c>
      <c r="B177" t="s">
        <v>17</v>
      </c>
      <c r="C177">
        <v>49559.07</v>
      </c>
      <c r="D177">
        <v>49106.947950000002</v>
      </c>
      <c r="E177" s="2">
        <v>1.3315703302890083E-2</v>
      </c>
      <c r="F177" s="1">
        <v>48194</v>
      </c>
      <c r="G177">
        <v>49559.07</v>
      </c>
      <c r="H177">
        <v>0.22303000000000001</v>
      </c>
      <c r="J177" s="3">
        <f>(F177-A177)/365</f>
        <v>6.0465753424657533</v>
      </c>
      <c r="K177" s="3">
        <f>(LN(D177/G177)+H177^2*J177/2)/(H177*SQRT(J177))</f>
        <v>0.25750196364277123</v>
      </c>
      <c r="L177" s="3">
        <f>K177-H177*SQRT(J177)</f>
        <v>-0.29092401479504815</v>
      </c>
      <c r="M177" s="3">
        <f>EXP(-E177*J177)*(D177*_xlfn.NORM.DIST(K177,0,1,TRUE)-G177*_xlfn.NORM.DIST(L177,0,1,TRUE))</f>
        <v>9627.9685030575292</v>
      </c>
      <c r="N177" s="3">
        <f>EXP(-E177*J177)*(G177*_xlfn.NORM.DIST(-L177,0,1,TRUE)-D177*_xlfn.NORM.DIST(-K177,0,1,TRUE))</f>
        <v>10045.115121194385</v>
      </c>
      <c r="O177" s="3" t="b">
        <f>(M177-N177)=EXP(-E177*J177)*(D177-G177)</f>
        <v>0</v>
      </c>
    </row>
    <row r="178" spans="1:15" x14ac:dyDescent="0.3">
      <c r="A178" s="1">
        <v>45987</v>
      </c>
      <c r="B178" t="s">
        <v>17</v>
      </c>
      <c r="C178">
        <v>49559.07</v>
      </c>
      <c r="D178">
        <v>49106.947950000002</v>
      </c>
      <c r="E178" s="2">
        <v>1.3315703302890083E-2</v>
      </c>
      <c r="F178" s="1">
        <v>48194</v>
      </c>
      <c r="G178">
        <v>52037.023499999996</v>
      </c>
      <c r="H178">
        <v>0.219752</v>
      </c>
      <c r="J178" s="3">
        <f>(F178-A178)/365</f>
        <v>6.0465753424657533</v>
      </c>
      <c r="K178" s="3">
        <f>(LN(D178/G178)+H178^2*J178/2)/(H178*SQRT(J178))</f>
        <v>0.16293137148350012</v>
      </c>
      <c r="L178" s="3">
        <f>K178-H178*SQRT(J178)</f>
        <v>-0.37743407537866047</v>
      </c>
      <c r="M178" s="3">
        <f>EXP(-E178*J178)*(D178*_xlfn.NORM.DIST(K178,0,1,TRUE)-G178*_xlfn.NORM.DIST(L178,0,1,TRUE))</f>
        <v>8641.6234562430927</v>
      </c>
      <c r="N178" s="3">
        <f>EXP(-E178*J178)*(G178*_xlfn.NORM.DIST(-L178,0,1,TRUE)-D178*_xlfn.NORM.DIST(-K178,0,1,TRUE))</f>
        <v>11345.033092132289</v>
      </c>
      <c r="O178" s="3" t="b">
        <f>(M178-N178)=EXP(-E178*J178)*(D178-G178)</f>
        <v>1</v>
      </c>
    </row>
    <row r="179" spans="1:15" x14ac:dyDescent="0.3">
      <c r="A179" s="1">
        <v>45987</v>
      </c>
      <c r="B179" t="s">
        <v>17</v>
      </c>
      <c r="C179">
        <v>49559.07</v>
      </c>
      <c r="D179">
        <v>49106.947950000002</v>
      </c>
      <c r="E179" s="2">
        <v>1.3315703302890083E-2</v>
      </c>
      <c r="F179" s="1">
        <v>48194</v>
      </c>
      <c r="G179">
        <v>54514.976999999999</v>
      </c>
      <c r="H179">
        <v>0.216973</v>
      </c>
      <c r="J179" s="3">
        <f>(F179-A179)/365</f>
        <v>6.0465753424657533</v>
      </c>
      <c r="K179" s="3">
        <f>(LN(D179/G179)+H179^2*J179/2)/(H179*SQRT(J179))</f>
        <v>7.0948381681164602E-2</v>
      </c>
      <c r="L179" s="3">
        <f>K179-H179*SQRT(J179)</f>
        <v>-0.46258356388485333</v>
      </c>
      <c r="M179" s="3">
        <f>EXP(-E179*J179)*(D179*_xlfn.NORM.DIST(K179,0,1,TRUE)-G179*_xlfn.NORM.DIST(L179,0,1,TRUE))</f>
        <v>7747.9873370843534</v>
      </c>
      <c r="N179" s="3">
        <f>EXP(-E179*J179)*(G179*_xlfn.NORM.DIST(-L179,0,1,TRUE)-D179*_xlfn.NORM.DIST(-K179,0,1,TRUE))</f>
        <v>12737.659990725908</v>
      </c>
      <c r="O179" s="3" t="b">
        <f>(M179-N179)=EXP(-E179*J179)*(D179-G179)</f>
        <v>1</v>
      </c>
    </row>
    <row r="180" spans="1:15" x14ac:dyDescent="0.3">
      <c r="A180" s="1">
        <v>45987</v>
      </c>
      <c r="B180" t="s">
        <v>17</v>
      </c>
      <c r="C180">
        <v>49559.07</v>
      </c>
      <c r="D180">
        <v>49106.947950000002</v>
      </c>
      <c r="E180" s="2">
        <v>1.3315703302890083E-2</v>
      </c>
      <c r="F180" s="1">
        <v>48194</v>
      </c>
      <c r="G180">
        <v>59470.884000000005</v>
      </c>
      <c r="H180">
        <v>0.21279400000000001</v>
      </c>
      <c r="J180" s="3">
        <f>(F180-A180)/365</f>
        <v>6.0465753424657533</v>
      </c>
      <c r="K180" s="3">
        <f>(LN(D180/G180)+H180^2*J180/2)/(H180*SQRT(J180))</f>
        <v>-0.10432364929453999</v>
      </c>
      <c r="L180" s="3">
        <f>K180-H180*SQRT(J180)</f>
        <v>-0.62757952364192515</v>
      </c>
      <c r="M180" s="3">
        <f>EXP(-E180*J180)*(D180*_xlfn.NORM.DIST(K180,0,1,TRUE)-G180*_xlfn.NORM.DIST(L180,0,1,TRUE))</f>
        <v>6223.4892757998714</v>
      </c>
      <c r="N180" s="3">
        <f>EXP(-E180*J180)*(G180*_xlfn.NORM.DIST(-L180,0,1,TRUE)-D180*_xlfn.NORM.DIST(-K180,0,1,TRUE))</f>
        <v>15785.687964946139</v>
      </c>
      <c r="O180" s="3" t="b">
        <f>(M180-N180)=EXP(-E180*J180)*(D180-G180)</f>
        <v>0</v>
      </c>
    </row>
    <row r="181" spans="1:15" x14ac:dyDescent="0.3">
      <c r="A181" s="1">
        <v>45987</v>
      </c>
      <c r="B181" t="s">
        <v>17</v>
      </c>
      <c r="C181">
        <v>49559.07</v>
      </c>
      <c r="D181">
        <v>49106.947950000002</v>
      </c>
      <c r="E181" s="2">
        <v>1.3315703302890083E-2</v>
      </c>
      <c r="F181" s="1">
        <v>48194</v>
      </c>
      <c r="G181">
        <v>64426.790999999997</v>
      </c>
      <c r="H181">
        <v>0.21023600000000001</v>
      </c>
      <c r="J181" s="3">
        <f>(F181-A181)/365</f>
        <v>6.0465753424657533</v>
      </c>
      <c r="K181" s="3">
        <f>(LN(D181/G181)+H181^2*J181/2)/(H181*SQRT(J181))</f>
        <v>-0.26675304267948863</v>
      </c>
      <c r="L181" s="3">
        <f>K181-H181*SQRT(J181)</f>
        <v>-0.78371884998278141</v>
      </c>
      <c r="M181" s="3">
        <f>EXP(-E181*J181)*(D181*_xlfn.NORM.DIST(K181,0,1,TRUE)-G181*_xlfn.NORM.DIST(L181,0,1,TRUE))</f>
        <v>5013.5165660104012</v>
      </c>
      <c r="N181" s="3">
        <f>EXP(-E181*J181)*(G181*_xlfn.NORM.DIST(-L181,0,1,TRUE)-D181*_xlfn.NORM.DIST(-K181,0,1,TRUE))</f>
        <v>19148.241290661361</v>
      </c>
      <c r="O181" s="3" t="b">
        <f>(M181-N181)=EXP(-E181*J181)*(D181-G181)</f>
        <v>1</v>
      </c>
    </row>
    <row r="182" spans="1:15" x14ac:dyDescent="0.3">
      <c r="A182" s="1">
        <v>45987</v>
      </c>
      <c r="B182" t="s">
        <v>17</v>
      </c>
      <c r="C182">
        <v>49559.07</v>
      </c>
      <c r="D182">
        <v>49106.947950000002</v>
      </c>
      <c r="E182" s="2">
        <v>1.3315703302890083E-2</v>
      </c>
      <c r="F182" s="1">
        <v>48194</v>
      </c>
      <c r="G182">
        <v>69382.698000000004</v>
      </c>
      <c r="H182">
        <v>0.20902100000000001</v>
      </c>
      <c r="J182" s="3">
        <f>(F182-A182)/365</f>
        <v>6.0465753424657533</v>
      </c>
      <c r="K182" s="3">
        <f>(LN(D182/G182)+H182^2*J182/2)/(H182*SQRT(J182))</f>
        <v>-0.4154850343659624</v>
      </c>
      <c r="L182" s="3">
        <f>K182-H182*SQRT(J182)</f>
        <v>-0.92946318277223705</v>
      </c>
      <c r="M182" s="3">
        <f>EXP(-E182*J182)*(D182*_xlfn.NORM.DIST(K182,0,1,TRUE)-G182*_xlfn.NORM.DIST(L182,0,1,TRUE))</f>
        <v>4067.1420243286398</v>
      </c>
      <c r="N182" s="3">
        <f>EXP(-E182*J182)*(G182*_xlfn.NORM.DIST(-L182,0,1,TRUE)-D182*_xlfn.NORM.DIST(-K182,0,1,TRUE))</f>
        <v>22774.392784484317</v>
      </c>
      <c r="O182" s="3" t="b">
        <f>(M182-N182)=EXP(-E182*J182)*(D182-G182)</f>
        <v>1</v>
      </c>
    </row>
    <row r="183" spans="1:15" x14ac:dyDescent="0.3">
      <c r="A183" s="1">
        <v>45987</v>
      </c>
      <c r="B183" t="s">
        <v>17</v>
      </c>
      <c r="C183">
        <v>49559.07</v>
      </c>
      <c r="D183">
        <v>49106.947950000002</v>
      </c>
      <c r="E183" s="2">
        <v>1.3315703302890083E-2</v>
      </c>
      <c r="F183" s="1">
        <v>48194</v>
      </c>
      <c r="G183">
        <v>74338.604999999996</v>
      </c>
      <c r="H183">
        <v>0.208874</v>
      </c>
      <c r="J183" s="3">
        <f>(F183-A183)/365</f>
        <v>6.0465753424657533</v>
      </c>
      <c r="K183" s="3">
        <f>(LN(D183/G183)+H183^2*J183/2)/(H183*SQRT(J183))</f>
        <v>-0.55046659154630673</v>
      </c>
      <c r="L183" s="3">
        <f>K183-H183*SQRT(J183)</f>
        <v>-1.0640832701107199</v>
      </c>
      <c r="M183" s="3">
        <f>EXP(-E183*J183)*(D183*_xlfn.NORM.DIST(K183,0,1,TRUE)-G183*_xlfn.NORM.DIST(L183,0,1,TRUE))</f>
        <v>3332.3060628224252</v>
      </c>
      <c r="N183" s="3">
        <f>EXP(-E183*J183)*(G183*_xlfn.NORM.DIST(-L183,0,1,TRUE)-D183*_xlfn.NORM.DIST(-K183,0,1,TRUE))</f>
        <v>26612.082858482794</v>
      </c>
      <c r="O183" s="3" t="b">
        <f>(M183-N183)=EXP(-E183*J183)*(D183-G183)</f>
        <v>1</v>
      </c>
    </row>
    <row r="184" spans="1:15" x14ac:dyDescent="0.3">
      <c r="A184" s="1">
        <v>45987</v>
      </c>
      <c r="B184" t="s">
        <v>17</v>
      </c>
      <c r="C184">
        <v>49559.07</v>
      </c>
      <c r="D184">
        <v>49262.490039999997</v>
      </c>
      <c r="E184" s="2">
        <v>1.4024501836662375E-2</v>
      </c>
      <c r="F184" s="1">
        <v>48558</v>
      </c>
      <c r="G184">
        <v>24779.535</v>
      </c>
      <c r="H184">
        <v>0.28437800000000002</v>
      </c>
      <c r="J184" s="3">
        <f>(F184-A184)/365</f>
        <v>7.043835616438356</v>
      </c>
      <c r="K184" s="3">
        <f>(LN(D184/G184)+H184^2*J184/2)/(H184*SQRT(J184))</f>
        <v>1.2878051609669314</v>
      </c>
      <c r="L184" s="3">
        <f>K184-H184*SQRT(J184)</f>
        <v>0.53305954050063675</v>
      </c>
      <c r="M184" s="3">
        <f>EXP(-E184*J184)*(D184*_xlfn.NORM.DIST(K184,0,1,TRUE)-G184*_xlfn.NORM.DIST(L184,0,1,TRUE))</f>
        <v>24433.085932394602</v>
      </c>
      <c r="N184" s="3">
        <f>EXP(-E184*J184)*(G184*_xlfn.NORM.DIST(-L184,0,1,TRUE)-D184*_xlfn.NORM.DIST(-K184,0,1,TRUE))</f>
        <v>2253.0882543042399</v>
      </c>
      <c r="O184" s="3" t="b">
        <f>(M184-N184)=EXP(-E184*J184)*(D184-G184)</f>
        <v>1</v>
      </c>
    </row>
    <row r="185" spans="1:15" x14ac:dyDescent="0.3">
      <c r="A185" s="1">
        <v>45987</v>
      </c>
      <c r="B185" t="s">
        <v>17</v>
      </c>
      <c r="C185">
        <v>49559.07</v>
      </c>
      <c r="D185">
        <v>49262.490039999997</v>
      </c>
      <c r="E185" s="2">
        <v>1.4024501836662375E-2</v>
      </c>
      <c r="F185" s="1">
        <v>48558</v>
      </c>
      <c r="G185">
        <v>29735.442000000003</v>
      </c>
      <c r="H185">
        <v>0.26629000000000003</v>
      </c>
      <c r="J185" s="3">
        <f>(F185-A185)/365</f>
        <v>7.043835616438356</v>
      </c>
      <c r="K185" s="3">
        <f>(LN(D185/G185)+H185^2*J185/2)/(H185*SQRT(J185))</f>
        <v>1.067668603533436</v>
      </c>
      <c r="L185" s="3">
        <f>K185-H185*SQRT(J185)</f>
        <v>0.36092894268073417</v>
      </c>
      <c r="M185" s="3">
        <f>EXP(-E185*J185)*(D185*_xlfn.NORM.DIST(K185,0,1,TRUE)-G185*_xlfn.NORM.DIST(L185,0,1,TRUE))</f>
        <v>20988.670247368515</v>
      </c>
      <c r="N185" s="3">
        <f>EXP(-E185*J185)*(G185*_xlfn.NORM.DIST(-L185,0,1,TRUE)-D185*_xlfn.NORM.DIST(-K185,0,1,TRUE))</f>
        <v>3298.4086151616011</v>
      </c>
      <c r="O185" s="3" t="b">
        <f>(M185-N185)=EXP(-E185*J185)*(D185-G185)</f>
        <v>1</v>
      </c>
    </row>
    <row r="186" spans="1:15" x14ac:dyDescent="0.3">
      <c r="A186" s="1">
        <v>45987</v>
      </c>
      <c r="B186" t="s">
        <v>17</v>
      </c>
      <c r="C186">
        <v>49559.07</v>
      </c>
      <c r="D186">
        <v>49262.490039999997</v>
      </c>
      <c r="E186" s="2">
        <v>1.4024501836662375E-2</v>
      </c>
      <c r="F186" s="1">
        <v>48558</v>
      </c>
      <c r="G186">
        <v>34691.349000000002</v>
      </c>
      <c r="H186">
        <v>0.251554</v>
      </c>
      <c r="J186" s="3">
        <f>(F186-A186)/365</f>
        <v>7.043835616438356</v>
      </c>
      <c r="K186" s="3">
        <f>(LN(D186/G186)+H186^2*J186/2)/(H186*SQRT(J186))</f>
        <v>0.85906490749404452</v>
      </c>
      <c r="L186" s="3">
        <f>K186-H186*SQRT(J186)</f>
        <v>0.19143492271752072</v>
      </c>
      <c r="M186" s="3">
        <f>EXP(-E186*J186)*(D186*_xlfn.NORM.DIST(K186,0,1,TRUE)-G186*_xlfn.NORM.DIST(L186,0,1,TRUE))</f>
        <v>17819.575575720952</v>
      </c>
      <c r="N186" s="3">
        <f>EXP(-E186*J186)*(G186*_xlfn.NORM.DIST(-L186,0,1,TRUE)-D186*_xlfn.NORM.DIST(-K186,0,1,TRUE))</f>
        <v>4619.0499893974793</v>
      </c>
      <c r="O186" s="3" t="b">
        <f>(M186-N186)=EXP(-E186*J186)*(D186-G186)</f>
        <v>1</v>
      </c>
    </row>
    <row r="187" spans="1:15" x14ac:dyDescent="0.3">
      <c r="A187" s="1">
        <v>45987</v>
      </c>
      <c r="B187" t="s">
        <v>17</v>
      </c>
      <c r="C187">
        <v>49559.07</v>
      </c>
      <c r="D187">
        <v>49262.490039999997</v>
      </c>
      <c r="E187" s="2">
        <v>1.4024501836662375E-2</v>
      </c>
      <c r="F187" s="1">
        <v>48558</v>
      </c>
      <c r="G187">
        <v>39647.256000000001</v>
      </c>
      <c r="H187">
        <v>0.23955899999999999</v>
      </c>
      <c r="J187" s="3">
        <f>(F187-A187)/365</f>
        <v>7.043835616438356</v>
      </c>
      <c r="K187" s="3">
        <f>(LN(D187/G187)+H187^2*J187/2)/(H187*SQRT(J187))</f>
        <v>0.65942456543526728</v>
      </c>
      <c r="L187" s="3">
        <f>K187-H187*SQRT(J187)</f>
        <v>2.3629580966408659E-2</v>
      </c>
      <c r="M187" s="3">
        <f>EXP(-E187*J187)*(D187*_xlfn.NORM.DIST(K187,0,1,TRUE)-G187*_xlfn.NORM.DIST(L187,0,1,TRUE))</f>
        <v>14959.268890727011</v>
      </c>
      <c r="N187" s="3">
        <f>EXP(-E187*J187)*(G187*_xlfn.NORM.DIST(-L187,0,1,TRUE)-D187*_xlfn.NORM.DIST(-K187,0,1,TRUE))</f>
        <v>6248.4793502869925</v>
      </c>
      <c r="O187" s="3" t="b">
        <f>(M187-N187)=EXP(-E187*J187)*(D187-G187)</f>
        <v>1</v>
      </c>
    </row>
    <row r="188" spans="1:15" x14ac:dyDescent="0.3">
      <c r="A188" s="1">
        <v>45987</v>
      </c>
      <c r="B188" t="s">
        <v>17</v>
      </c>
      <c r="C188">
        <v>49559.07</v>
      </c>
      <c r="D188">
        <v>49262.490039999997</v>
      </c>
      <c r="E188" s="2">
        <v>1.4024501836662375E-2</v>
      </c>
      <c r="F188" s="1">
        <v>48558</v>
      </c>
      <c r="G188">
        <v>44603.163</v>
      </c>
      <c r="H188">
        <v>0.229931</v>
      </c>
      <c r="J188" s="3">
        <f>(F188-A188)/365</f>
        <v>7.043835616438356</v>
      </c>
      <c r="K188" s="3">
        <f>(LN(D188/G188)+H188^2*J188/2)/(H188*SQRT(J188))</f>
        <v>0.46793865667244094</v>
      </c>
      <c r="L188" s="3">
        <f>K188-H188*SQRT(J188)</f>
        <v>-0.14230339882916465</v>
      </c>
      <c r="M188" s="3">
        <f>EXP(-E188*J188)*(D188*_xlfn.NORM.DIST(K188,0,1,TRUE)-G188*_xlfn.NORM.DIST(L188,0,1,TRUE))</f>
        <v>12433.772687560089</v>
      </c>
      <c r="N188" s="3">
        <f>EXP(-E188*J188)*(G188*_xlfn.NORM.DIST(-L188,0,1,TRUE)-D188*_xlfn.NORM.DIST(-K188,0,1,TRUE))</f>
        <v>8212.7191930035133</v>
      </c>
      <c r="O188" s="3" t="b">
        <f>(M188-N188)=EXP(-E188*J188)*(D188-G188)</f>
        <v>1</v>
      </c>
    </row>
    <row r="189" spans="1:15" x14ac:dyDescent="0.3">
      <c r="A189" s="1">
        <v>45987</v>
      </c>
      <c r="B189" t="s">
        <v>17</v>
      </c>
      <c r="C189">
        <v>49559.07</v>
      </c>
      <c r="D189">
        <v>49262.490039999997</v>
      </c>
      <c r="E189" s="2">
        <v>1.4024501836662375E-2</v>
      </c>
      <c r="F189" s="1">
        <v>48558</v>
      </c>
      <c r="G189">
        <v>47081.116500000004</v>
      </c>
      <c r="H189">
        <v>0.22592000000000001</v>
      </c>
      <c r="J189" s="3">
        <f>(F189-A189)/365</f>
        <v>7.043835616438356</v>
      </c>
      <c r="K189" s="3">
        <f>(LN(D189/G189)+H189^2*J189/2)/(H189*SQRT(J189))</f>
        <v>0.37533405462094005</v>
      </c>
      <c r="L189" s="3">
        <f>K189-H189*SQRT(J189)</f>
        <v>-0.22426271649266682</v>
      </c>
      <c r="M189" s="3">
        <f>EXP(-E189*J189)*(D189*_xlfn.NORM.DIST(K189,0,1,TRUE)-G189*_xlfn.NORM.DIST(L189,0,1,TRUE))</f>
        <v>11301.280454763502</v>
      </c>
      <c r="N189" s="3">
        <f>EXP(-E189*J189)*(G189*_xlfn.NORM.DIST(-L189,0,1,TRUE)-D189*_xlfn.NORM.DIST(-K189,0,1,TRUE))</f>
        <v>9325.0949831486523</v>
      </c>
      <c r="O189" s="3" t="b">
        <f>(M189-N189)=EXP(-E189*J189)*(D189-G189)</f>
        <v>1</v>
      </c>
    </row>
    <row r="190" spans="1:15" x14ac:dyDescent="0.3">
      <c r="A190" s="1">
        <v>45987</v>
      </c>
      <c r="B190" t="s">
        <v>17</v>
      </c>
      <c r="C190">
        <v>49559.07</v>
      </c>
      <c r="D190">
        <v>49262.490039999997</v>
      </c>
      <c r="E190" s="2">
        <v>1.4024501836662375E-2</v>
      </c>
      <c r="F190" s="1">
        <v>48558</v>
      </c>
      <c r="G190">
        <v>49559.07</v>
      </c>
      <c r="H190">
        <v>0.22240799999999999</v>
      </c>
      <c r="J190" s="3">
        <f>(F190-A190)/365</f>
        <v>7.043835616438356</v>
      </c>
      <c r="K190" s="3">
        <f>(LN(D190/G190)+H190^2*J190/2)/(H190*SQRT(J190))</f>
        <v>0.28496919972755674</v>
      </c>
      <c r="L190" s="3">
        <f>K190-H190*SQRT(J190)</f>
        <v>-0.30530664424303045</v>
      </c>
      <c r="M190" s="3">
        <f>EXP(-E190*J190)*(D190*_xlfn.NORM.DIST(K190,0,1,TRUE)-G190*_xlfn.NORM.DIST(L190,0,1,TRUE))</f>
        <v>10256.191034837291</v>
      </c>
      <c r="N190" s="3">
        <f>EXP(-E190*J190)*(G190*_xlfn.NORM.DIST(-L190,0,1,TRUE)-D190*_xlfn.NORM.DIST(-K190,0,1,TRUE))</f>
        <v>10524.873586164162</v>
      </c>
      <c r="O190" s="3" t="b">
        <f>(M190-N190)=EXP(-E190*J190)*(D190-G190)</f>
        <v>0</v>
      </c>
    </row>
    <row r="191" spans="1:15" x14ac:dyDescent="0.3">
      <c r="A191" s="1">
        <v>45987</v>
      </c>
      <c r="B191" t="s">
        <v>17</v>
      </c>
      <c r="C191">
        <v>49559.07</v>
      </c>
      <c r="D191">
        <v>49262.490039999997</v>
      </c>
      <c r="E191" s="2">
        <v>1.4024501836662375E-2</v>
      </c>
      <c r="F191" s="1">
        <v>48558</v>
      </c>
      <c r="G191">
        <v>52037.023499999996</v>
      </c>
      <c r="H191">
        <v>0.21936800000000001</v>
      </c>
      <c r="J191" s="3">
        <f>(F191-A191)/365</f>
        <v>7.043835616438356</v>
      </c>
      <c r="K191" s="3">
        <f>(LN(D191/G191)+H191^2*J191/2)/(H191*SQRT(J191))</f>
        <v>0.19699216469120373</v>
      </c>
      <c r="L191" s="3">
        <f>K191-H191*SQRT(J191)</f>
        <v>-0.38521545077289732</v>
      </c>
      <c r="M191" s="3">
        <f>EXP(-E191*J191)*(D191*_xlfn.NORM.DIST(K191,0,1,TRUE)-G191*_xlfn.NORM.DIST(L191,0,1,TRUE))</f>
        <v>9297.4736604149275</v>
      </c>
      <c r="N191" s="3">
        <f>EXP(-E191*J191)*(G191*_xlfn.NORM.DIST(-L191,0,1,TRUE)-D191*_xlfn.NORM.DIST(-K191,0,1,TRUE))</f>
        <v>11811.024234683515</v>
      </c>
      <c r="O191" s="3" t="b">
        <f>(M191-N191)=EXP(-E191*J191)*(D191-G191)</f>
        <v>1</v>
      </c>
    </row>
    <row r="192" spans="1:15" x14ac:dyDescent="0.3">
      <c r="A192" s="1">
        <v>45987</v>
      </c>
      <c r="B192" t="s">
        <v>17</v>
      </c>
      <c r="C192">
        <v>49559.07</v>
      </c>
      <c r="D192">
        <v>49262.490039999997</v>
      </c>
      <c r="E192" s="2">
        <v>1.4024501836662375E-2</v>
      </c>
      <c r="F192" s="1">
        <v>48558</v>
      </c>
      <c r="G192">
        <v>54514.976999999999</v>
      </c>
      <c r="H192">
        <v>0.21677199999999999</v>
      </c>
      <c r="J192" s="3">
        <f>(F192-A192)/365</f>
        <v>7.043835616438356</v>
      </c>
      <c r="K192" s="3">
        <f>(LN(D192/G192)+H192^2*J192/2)/(H192*SQRT(J192))</f>
        <v>0.11156050107050205</v>
      </c>
      <c r="L192" s="3">
        <f>K192-H192*SQRT(J192)</f>
        <v>-0.46375727189266525</v>
      </c>
      <c r="M192" s="3">
        <f>EXP(-E192*J192)*(D192*_xlfn.NORM.DIST(K192,0,1,TRUE)-G192*_xlfn.NORM.DIST(L192,0,1,TRUE))</f>
        <v>8422.9318026380461</v>
      </c>
      <c r="N192" s="3">
        <f>EXP(-E192*J192)*(G192*_xlfn.NORM.DIST(-L192,0,1,TRUE)-D192*_xlfn.NORM.DIST(-K192,0,1,TRUE))</f>
        <v>13181.350399848359</v>
      </c>
      <c r="O192" s="3" t="b">
        <f>(M192-N192)=EXP(-E192*J192)*(D192-G192)</f>
        <v>1</v>
      </c>
    </row>
    <row r="193" spans="1:15" x14ac:dyDescent="0.3">
      <c r="A193" s="1">
        <v>45987</v>
      </c>
      <c r="B193" t="s">
        <v>17</v>
      </c>
      <c r="C193">
        <v>49559.07</v>
      </c>
      <c r="D193">
        <v>49262.490039999997</v>
      </c>
      <c r="E193" s="2">
        <v>1.4024501836662375E-2</v>
      </c>
      <c r="F193" s="1">
        <v>48558</v>
      </c>
      <c r="G193">
        <v>59470.884000000005</v>
      </c>
      <c r="H193">
        <v>0.21280399999999999</v>
      </c>
      <c r="J193" s="3">
        <f>(F193-A193)/365</f>
        <v>7.043835616438356</v>
      </c>
      <c r="K193" s="3">
        <f>(LN(D193/G193)+H193^2*J193/2)/(H193*SQRT(J193))</f>
        <v>-5.1049279546727513E-2</v>
      </c>
      <c r="L193" s="3">
        <f>K193-H193*SQRT(J193)</f>
        <v>-0.61583589109090242</v>
      </c>
      <c r="M193" s="3">
        <f>EXP(-E193*J193)*(D193*_xlfn.NORM.DIST(K193,0,1,TRUE)-G193*_xlfn.NORM.DIST(L193,0,1,TRUE))</f>
        <v>6912.8942147438083</v>
      </c>
      <c r="N193" s="3">
        <f>EXP(-E193*J193)*(G193*_xlfn.NORM.DIST(-L193,0,1,TRUE)-D193*_xlfn.NORM.DIST(-K193,0,1,TRUE))</f>
        <v>16161.048857837577</v>
      </c>
      <c r="O193" s="3" t="b">
        <f>(M193-N193)=EXP(-E193*J193)*(D193-G193)</f>
        <v>1</v>
      </c>
    </row>
    <row r="194" spans="1:15" x14ac:dyDescent="0.3">
      <c r="A194" s="1">
        <v>45987</v>
      </c>
      <c r="B194" t="s">
        <v>17</v>
      </c>
      <c r="C194">
        <v>49559.07</v>
      </c>
      <c r="D194">
        <v>49262.490039999997</v>
      </c>
      <c r="E194" s="2">
        <v>1.4024501836662375E-2</v>
      </c>
      <c r="F194" s="1">
        <v>48558</v>
      </c>
      <c r="G194">
        <v>64426.790999999997</v>
      </c>
      <c r="H194">
        <v>0.21027000000000001</v>
      </c>
      <c r="J194" s="3">
        <f>(F194-A194)/365</f>
        <v>7.043835616438356</v>
      </c>
      <c r="K194" s="3">
        <f>(LN(D194/G194)+H194^2*J194/2)/(H194*SQRT(J194))</f>
        <v>-0.20186025135261429</v>
      </c>
      <c r="L194" s="3">
        <f>K194-H194*SQRT(J194)</f>
        <v>-0.75992156979302738</v>
      </c>
      <c r="M194" s="3">
        <f>EXP(-E194*J194)*(D194*_xlfn.NORM.DIST(K194,0,1,TRUE)-G194*_xlfn.NORM.DIST(L194,0,1,TRUE))</f>
        <v>5690.8984908165112</v>
      </c>
      <c r="N194" s="3">
        <f>EXP(-E194*J194)*(G194*_xlfn.NORM.DIST(-L194,0,1,TRUE)-D194*_xlfn.NORM.DIST(-K194,0,1,TRUE))</f>
        <v>19428.789179793705</v>
      </c>
      <c r="O194" s="3" t="b">
        <f>(M194-N194)=EXP(-E194*J194)*(D194-G194)</f>
        <v>1</v>
      </c>
    </row>
    <row r="195" spans="1:15" x14ac:dyDescent="0.3">
      <c r="A195" s="1">
        <v>45987</v>
      </c>
      <c r="B195" t="s">
        <v>17</v>
      </c>
      <c r="C195">
        <v>49559.07</v>
      </c>
      <c r="D195">
        <v>49262.490039999997</v>
      </c>
      <c r="E195" s="2">
        <v>1.4024501836662375E-2</v>
      </c>
      <c r="F195" s="1">
        <v>48558</v>
      </c>
      <c r="G195">
        <v>69382.698000000004</v>
      </c>
      <c r="H195">
        <v>0.20893100000000001</v>
      </c>
      <c r="J195" s="3">
        <f>(F195-A195)/365</f>
        <v>7.043835616438356</v>
      </c>
      <c r="K195" s="3">
        <f>(LN(D195/G195)+H195^2*J195/2)/(H195*SQRT(J195))</f>
        <v>-0.34036551415127914</v>
      </c>
      <c r="L195" s="3">
        <f>K195-H195*SQRT(J195)</f>
        <v>-0.89487309641728918</v>
      </c>
      <c r="M195" s="3">
        <f>EXP(-E195*J195)*(D195*_xlfn.NORM.DIST(K195,0,1,TRUE)-G195*_xlfn.NORM.DIST(L195,0,1,TRUE))</f>
        <v>4714.0962331868832</v>
      </c>
      <c r="N195" s="3">
        <f>EXP(-E195*J195)*(G195*_xlfn.NORM.DIST(-L195,0,1,TRUE)-D195*_xlfn.NORM.DIST(-K195,0,1,TRUE))</f>
        <v>22941.722968047539</v>
      </c>
      <c r="O195" s="3" t="b">
        <f>(M195-N195)=EXP(-E195*J195)*(D195-G195)</f>
        <v>1</v>
      </c>
    </row>
    <row r="196" spans="1:15" x14ac:dyDescent="0.3">
      <c r="A196" s="1">
        <v>45987</v>
      </c>
      <c r="B196" t="s">
        <v>17</v>
      </c>
      <c r="C196">
        <v>49559.07</v>
      </c>
      <c r="D196">
        <v>49262.490039999997</v>
      </c>
      <c r="E196" s="2">
        <v>1.4024501836662375E-2</v>
      </c>
      <c r="F196" s="1">
        <v>48558</v>
      </c>
      <c r="G196">
        <v>74338.604999999996</v>
      </c>
      <c r="H196">
        <v>0.20855399999999999</v>
      </c>
      <c r="J196" s="3">
        <f>(F196-A196)/365</f>
        <v>7.043835616438356</v>
      </c>
      <c r="K196" s="3">
        <f>(LN(D196/G196)+H196^2*J196/2)/(H196*SQRT(J196))</f>
        <v>-0.46662904644132142</v>
      </c>
      <c r="L196" s="3">
        <f>K196-H196*SQRT(J196)</f>
        <v>-1.0201360622116258</v>
      </c>
      <c r="M196" s="3">
        <f>EXP(-E196*J196)*(D196*_xlfn.NORM.DIST(K196,0,1,TRUE)-G196*_xlfn.NORM.DIST(L196,0,1,TRUE))</f>
        <v>3938.2801644578153</v>
      </c>
      <c r="N196" s="3">
        <f>EXP(-E196*J196)*(G196*_xlfn.NORM.DIST(-L196,0,1,TRUE)-D196*_xlfn.NORM.DIST(-K196,0,1,TRUE))</f>
        <v>26655.642945201911</v>
      </c>
      <c r="O196" s="3" t="b">
        <f>(M196-N196)=EXP(-E196*J196)*(D196-G196)</f>
        <v>1</v>
      </c>
    </row>
    <row r="197" spans="1:15" x14ac:dyDescent="0.3">
      <c r="A197" s="1">
        <v>45987</v>
      </c>
      <c r="B197" t="s">
        <v>17</v>
      </c>
      <c r="C197">
        <v>49559.07</v>
      </c>
      <c r="D197">
        <v>49483.454680000003</v>
      </c>
      <c r="E197" s="2">
        <v>1.4718640998285034E-2</v>
      </c>
      <c r="F197" s="1">
        <v>48922</v>
      </c>
      <c r="G197">
        <v>24779.535</v>
      </c>
      <c r="H197">
        <v>0.28023399999999998</v>
      </c>
      <c r="J197" s="3">
        <f>(F197-A197)/365</f>
        <v>8.0410958904109595</v>
      </c>
      <c r="K197" s="3">
        <f>(LN(D197/G197)+H197^2*J197/2)/(H197*SQRT(J197))</f>
        <v>1.267667967789911</v>
      </c>
      <c r="L197" s="3">
        <f>K197-H197*SQRT(J197)</f>
        <v>0.4730132859865851</v>
      </c>
      <c r="M197" s="3">
        <f>EXP(-E197*J197)*(D197*_xlfn.NORM.DIST(K197,0,1,TRUE)-G197*_xlfn.NORM.DIST(L197,0,1,TRUE))</f>
        <v>24445.013130760166</v>
      </c>
      <c r="N197" s="3">
        <f>EXP(-E197*J197)*(G197*_xlfn.NORM.DIST(-L197,0,1,TRUE)-D197*_xlfn.NORM.DIST(-K197,0,1,TRUE))</f>
        <v>2498.5077452242608</v>
      </c>
      <c r="O197" s="3" t="b">
        <f>(M197-N197)=EXP(-E197*J197)*(D197-G197)</f>
        <v>1</v>
      </c>
    </row>
    <row r="198" spans="1:15" x14ac:dyDescent="0.3">
      <c r="A198" s="1">
        <v>45987</v>
      </c>
      <c r="B198" t="s">
        <v>17</v>
      </c>
      <c r="C198">
        <v>49559.07</v>
      </c>
      <c r="D198">
        <v>49483.454680000003</v>
      </c>
      <c r="E198" s="2">
        <v>1.4718640998285034E-2</v>
      </c>
      <c r="F198" s="1">
        <v>48922</v>
      </c>
      <c r="G198">
        <v>29735.442000000003</v>
      </c>
      <c r="H198">
        <v>0.26320199999999999</v>
      </c>
      <c r="J198" s="3">
        <f>(F198-A198)/365</f>
        <v>8.0410958904109595</v>
      </c>
      <c r="K198" s="3">
        <f>(LN(D198/G198)+H198^2*J198/2)/(H198*SQRT(J198))</f>
        <v>1.0555578350712278</v>
      </c>
      <c r="L198" s="3">
        <f>K198-H198*SQRT(J198)</f>
        <v>0.30920049955876683</v>
      </c>
      <c r="M198" s="3">
        <f>EXP(-E198*J198)*(D198*_xlfn.NORM.DIST(K198,0,1,TRUE)-G198*_xlfn.NORM.DIST(L198,0,1,TRUE))</f>
        <v>21144.665684886106</v>
      </c>
      <c r="N198" s="3">
        <f>EXP(-E198*J198)*(G198*_xlfn.NORM.DIST(-L198,0,1,TRUE)-D198*_xlfn.NORM.DIST(-K198,0,1,TRUE))</f>
        <v>3600.8964268389009</v>
      </c>
      <c r="O198" s="3" t="b">
        <f>(M198-N198)=EXP(-E198*J198)*(D198-G198)</f>
        <v>1</v>
      </c>
    </row>
    <row r="199" spans="1:15" x14ac:dyDescent="0.3">
      <c r="A199" s="1">
        <v>45987</v>
      </c>
      <c r="B199" t="s">
        <v>17</v>
      </c>
      <c r="C199">
        <v>49559.07</v>
      </c>
      <c r="D199">
        <v>49483.454680000003</v>
      </c>
      <c r="E199" s="2">
        <v>1.4718640998285034E-2</v>
      </c>
      <c r="F199" s="1">
        <v>48922</v>
      </c>
      <c r="G199">
        <v>34691.349000000002</v>
      </c>
      <c r="H199">
        <v>0.249364</v>
      </c>
      <c r="J199" s="3">
        <f>(F199-A199)/365</f>
        <v>8.0410958904109595</v>
      </c>
      <c r="K199" s="3">
        <f>(LN(D199/G199)+H199^2*J199/2)/(H199*SQRT(J199))</f>
        <v>0.85580635089929979</v>
      </c>
      <c r="L199" s="3">
        <f>K199-H199*SQRT(J199)</f>
        <v>0.14868919140685932</v>
      </c>
      <c r="M199" s="3">
        <f>EXP(-E199*J199)*(D199*_xlfn.NORM.DIST(K199,0,1,TRUE)-G199*_xlfn.NORM.DIST(L199,0,1,TRUE))</f>
        <v>18110.678331989839</v>
      </c>
      <c r="N199" s="3">
        <f>EXP(-E199*J199)*(G199*_xlfn.NORM.DIST(-L199,0,1,TRUE)-D199*_xlfn.NORM.DIST(-K199,0,1,TRUE))</f>
        <v>4969.6452014313327</v>
      </c>
      <c r="O199" s="3" t="b">
        <f>(M199-N199)=EXP(-E199*J199)*(D199-G199)</f>
        <v>1</v>
      </c>
    </row>
    <row r="200" spans="1:15" x14ac:dyDescent="0.3">
      <c r="A200" s="1">
        <v>45987</v>
      </c>
      <c r="B200" t="s">
        <v>17</v>
      </c>
      <c r="C200">
        <v>49559.07</v>
      </c>
      <c r="D200">
        <v>49483.454680000003</v>
      </c>
      <c r="E200" s="2">
        <v>1.4718640998285034E-2</v>
      </c>
      <c r="F200" s="1">
        <v>48922</v>
      </c>
      <c r="G200">
        <v>39647.256000000001</v>
      </c>
      <c r="H200">
        <v>0.238119</v>
      </c>
      <c r="J200" s="3">
        <f>(F200-A200)/365</f>
        <v>8.0410958904109595</v>
      </c>
      <c r="K200" s="3">
        <f>(LN(D200/G200)+H200^2*J200/2)/(H200*SQRT(J200))</f>
        <v>0.6658240899603689</v>
      </c>
      <c r="L200" s="3">
        <f>K200-H200*SQRT(J200)</f>
        <v>-9.4058185315563092E-3</v>
      </c>
      <c r="M200" s="3">
        <f>EXP(-E200*J200)*(D200*_xlfn.NORM.DIST(K200,0,1,TRUE)-G200*_xlfn.NORM.DIST(L200,0,1,TRUE))</f>
        <v>15369.950888375544</v>
      </c>
      <c r="N200" s="3">
        <f>EXP(-E200*J200)*(G200*_xlfn.NORM.DIST(-L200,0,1,TRUE)-D200*_xlfn.NORM.DIST(-K200,0,1,TRUE))</f>
        <v>6631.6538853057409</v>
      </c>
      <c r="O200" s="3" t="b">
        <f>(M200-N200)=EXP(-E200*J200)*(D200-G200)</f>
        <v>0</v>
      </c>
    </row>
    <row r="201" spans="1:15" x14ac:dyDescent="0.3">
      <c r="A201" s="1">
        <v>45987</v>
      </c>
      <c r="B201" t="s">
        <v>17</v>
      </c>
      <c r="C201">
        <v>49559.07</v>
      </c>
      <c r="D201">
        <v>49483.454680000003</v>
      </c>
      <c r="E201" s="2">
        <v>1.4718640998285034E-2</v>
      </c>
      <c r="F201" s="1">
        <v>48922</v>
      </c>
      <c r="G201">
        <v>44603.163</v>
      </c>
      <c r="H201">
        <v>0.22909099999999999</v>
      </c>
      <c r="J201" s="3">
        <f>(F201-A201)/365</f>
        <v>8.0410958904109595</v>
      </c>
      <c r="K201" s="3">
        <f>(LN(D201/G201)+H201^2*J201/2)/(H201*SQRT(J201))</f>
        <v>0.48464980503659683</v>
      </c>
      <c r="L201" s="3">
        <f>K201-H201*SQRT(J201)</f>
        <v>-0.16497956081125076</v>
      </c>
      <c r="M201" s="3">
        <f>EXP(-E201*J201)*(D201*_xlfn.NORM.DIST(K201,0,1,TRUE)-G201*_xlfn.NORM.DIST(L201,0,1,TRUE))</f>
        <v>12942.232483427242</v>
      </c>
      <c r="N201" s="3">
        <f>EXP(-E201*J201)*(G201*_xlfn.NORM.DIST(-L201,0,1,TRUE)-D201*_xlfn.NORM.DIST(-K201,0,1,TRUE))</f>
        <v>8606.6716078461377</v>
      </c>
      <c r="O201" s="3" t="b">
        <f>(M201-N201)=EXP(-E201*J201)*(D201-G201)</f>
        <v>0</v>
      </c>
    </row>
    <row r="202" spans="1:15" x14ac:dyDescent="0.3">
      <c r="A202" s="1">
        <v>45987</v>
      </c>
      <c r="B202" t="s">
        <v>17</v>
      </c>
      <c r="C202">
        <v>49559.07</v>
      </c>
      <c r="D202">
        <v>49483.454680000003</v>
      </c>
      <c r="E202" s="2">
        <v>1.4718640998285034E-2</v>
      </c>
      <c r="F202" s="1">
        <v>48922</v>
      </c>
      <c r="G202">
        <v>47081.116500000004</v>
      </c>
      <c r="H202">
        <v>0.22532199999999999</v>
      </c>
      <c r="J202" s="3">
        <f>(F202-A202)/365</f>
        <v>8.0410958904109595</v>
      </c>
      <c r="K202" s="3">
        <f>(LN(D202/G202)+H202^2*J202/2)/(H202*SQRT(J202))</f>
        <v>0.39735958765944146</v>
      </c>
      <c r="L202" s="3">
        <f>K202-H202*SQRT(J202)</f>
        <v>-0.24158209041420053</v>
      </c>
      <c r="M202" s="3">
        <f>EXP(-E202*J202)*(D202*_xlfn.NORM.DIST(K202,0,1,TRUE)-G202*_xlfn.NORM.DIST(L202,0,1,TRUE))</f>
        <v>11848.903702585672</v>
      </c>
      <c r="N202" s="3">
        <f>EXP(-E202*J202)*(G202*_xlfn.NORM.DIST(-L202,0,1,TRUE)-D202*_xlfn.NORM.DIST(-K202,0,1,TRUE))</f>
        <v>9714.7108907489182</v>
      </c>
      <c r="O202" s="3" t="b">
        <f>(M202-N202)=EXP(-E202*J202)*(D202-G202)</f>
        <v>1</v>
      </c>
    </row>
    <row r="203" spans="1:15" x14ac:dyDescent="0.3">
      <c r="A203" s="1">
        <v>45987</v>
      </c>
      <c r="B203" t="s">
        <v>17</v>
      </c>
      <c r="C203">
        <v>49559.07</v>
      </c>
      <c r="D203">
        <v>49483.454680000003</v>
      </c>
      <c r="E203" s="2">
        <v>1.4718640998285034E-2</v>
      </c>
      <c r="F203" s="1">
        <v>48922</v>
      </c>
      <c r="G203">
        <v>49559.07</v>
      </c>
      <c r="H203">
        <v>0.22201199999999999</v>
      </c>
      <c r="J203" s="3">
        <f>(F203-A203)/365</f>
        <v>8.0410958904109595</v>
      </c>
      <c r="K203" s="3">
        <f>(LN(D203/G203)+H203^2*J203/2)/(H203*SQRT(J203))</f>
        <v>0.31235238023795031</v>
      </c>
      <c r="L203" s="3">
        <f>K203-H203*SQRT(J203)</f>
        <v>-0.31720318838156047</v>
      </c>
      <c r="M203" s="3">
        <f>EXP(-E203*J203)*(D203*_xlfn.NORM.DIST(K203,0,1,TRUE)-G203*_xlfn.NORM.DIST(L203,0,1,TRUE))</f>
        <v>10835.968219977058</v>
      </c>
      <c r="N203" s="3">
        <f>EXP(-E203*J203)*(G203*_xlfn.NORM.DIST(-L203,0,1,TRUE)-D203*_xlfn.NORM.DIST(-K203,0,1,TRUE))</f>
        <v>10903.143471884649</v>
      </c>
      <c r="O203" s="3" t="b">
        <f>(M203-N203)=EXP(-E203*J203)*(D203-G203)</f>
        <v>0</v>
      </c>
    </row>
    <row r="204" spans="1:15" x14ac:dyDescent="0.3">
      <c r="A204" s="1">
        <v>45987</v>
      </c>
      <c r="B204" t="s">
        <v>17</v>
      </c>
      <c r="C204">
        <v>49559.07</v>
      </c>
      <c r="D204">
        <v>49483.454680000003</v>
      </c>
      <c r="E204" s="2">
        <v>1.4718640998285034E-2</v>
      </c>
      <c r="F204" s="1">
        <v>48922</v>
      </c>
      <c r="G204">
        <v>52037.023499999996</v>
      </c>
      <c r="H204">
        <v>0.219134</v>
      </c>
      <c r="J204" s="3">
        <f>(F204-A204)/365</f>
        <v>8.0410958904109595</v>
      </c>
      <c r="K204" s="3">
        <f>(LN(D204/G204)+H204^2*J204/2)/(H204*SQRT(J204))</f>
        <v>0.22972276282483767</v>
      </c>
      <c r="L204" s="3">
        <f>K204-H204*SQRT(J204)</f>
        <v>-0.3916717112300237</v>
      </c>
      <c r="M204" s="3">
        <f>EXP(-E204*J204)*(D204*_xlfn.NORM.DIST(K204,0,1,TRUE)-G204*_xlfn.NORM.DIST(L204,0,1,TRUE))</f>
        <v>9902.2814095051563</v>
      </c>
      <c r="N204" s="3">
        <f>EXP(-E204*J204)*(G204*_xlfn.NORM.DIST(-L204,0,1,TRUE)-D204*_xlfn.NORM.DIST(-K204,0,1,TRUE))</f>
        <v>12170.824725157096</v>
      </c>
      <c r="O204" s="3" t="b">
        <f>(M204-N204)=EXP(-E204*J204)*(D204-G204)</f>
        <v>1</v>
      </c>
    </row>
    <row r="205" spans="1:15" x14ac:dyDescent="0.3">
      <c r="A205" s="1">
        <v>45987</v>
      </c>
      <c r="B205" t="s">
        <v>17</v>
      </c>
      <c r="C205">
        <v>49559.07</v>
      </c>
      <c r="D205">
        <v>49483.454680000003</v>
      </c>
      <c r="E205" s="2">
        <v>1.4718640998285034E-2</v>
      </c>
      <c r="F205" s="1">
        <v>48922</v>
      </c>
      <c r="G205">
        <v>54514.976999999999</v>
      </c>
      <c r="H205">
        <v>0.21666199999999999</v>
      </c>
      <c r="J205" s="3">
        <f>(F205-A205)/365</f>
        <v>8.0410958904109595</v>
      </c>
      <c r="K205" s="3">
        <f>(LN(D205/G205)+H205^2*J205/2)/(H205*SQRT(J205))</f>
        <v>0.1495759218015876</v>
      </c>
      <c r="L205" s="3">
        <f>K205-H205*SQRT(J205)</f>
        <v>-0.46480874483012802</v>
      </c>
      <c r="M205" s="3">
        <f>EXP(-E205*J205)*(D205*_xlfn.NORM.DIST(K205,0,1,TRUE)-G205*_xlfn.NORM.DIST(L205,0,1,TRUE))</f>
        <v>9045.8253444630955</v>
      </c>
      <c r="N205" s="3">
        <f>EXP(-E205*J205)*(G205*_xlfn.NORM.DIST(-L205,0,1,TRUE)-D205*_xlfn.NORM.DIST(-K205,0,1,TRUE))</f>
        <v>13515.736723859385</v>
      </c>
      <c r="O205" s="3" t="b">
        <f>(M205-N205)=EXP(-E205*J205)*(D205-G205)</f>
        <v>1</v>
      </c>
    </row>
    <row r="206" spans="1:15" x14ac:dyDescent="0.3">
      <c r="A206" s="1">
        <v>45987</v>
      </c>
      <c r="B206" t="s">
        <v>17</v>
      </c>
      <c r="C206">
        <v>49559.07</v>
      </c>
      <c r="D206">
        <v>49483.454680000003</v>
      </c>
      <c r="E206" s="2">
        <v>1.4718640998285034E-2</v>
      </c>
      <c r="F206" s="1">
        <v>48922</v>
      </c>
      <c r="G206">
        <v>59470.884000000005</v>
      </c>
      <c r="H206">
        <v>0.21282899999999999</v>
      </c>
      <c r="J206" s="3">
        <f>(F206-A206)/365</f>
        <v>8.0410958904109595</v>
      </c>
      <c r="K206" s="3">
        <f>(LN(D206/G206)+H206^2*J206/2)/(H206*SQRT(J206))</f>
        <v>-2.8715202710246973E-3</v>
      </c>
      <c r="L206" s="3">
        <f>K206-H206*SQRT(J206)</f>
        <v>-0.60638701544120399</v>
      </c>
      <c r="M206" s="3">
        <f>EXP(-E206*J206)*(D206*_xlfn.NORM.DIST(K206,0,1,TRUE)-G206*_xlfn.NORM.DIST(L206,0,1,TRUE))</f>
        <v>7552.3929990453289</v>
      </c>
      <c r="N206" s="3">
        <f>EXP(-E206*J206)*(G206*_xlfn.NORM.DIST(-L206,0,1,TRUE)-D206*_xlfn.NORM.DIST(-K206,0,1,TRUE))</f>
        <v>16425.04050593033</v>
      </c>
      <c r="O206" s="3" t="b">
        <f>(M206-N206)=EXP(-E206*J206)*(D206-G206)</f>
        <v>1</v>
      </c>
    </row>
    <row r="207" spans="1:15" x14ac:dyDescent="0.3">
      <c r="A207" s="1">
        <v>45987</v>
      </c>
      <c r="B207" t="s">
        <v>17</v>
      </c>
      <c r="C207">
        <v>49559.07</v>
      </c>
      <c r="D207">
        <v>49483.454680000003</v>
      </c>
      <c r="E207" s="2">
        <v>1.4718640998285034E-2</v>
      </c>
      <c r="F207" s="1">
        <v>48922</v>
      </c>
      <c r="G207">
        <v>64426.790999999997</v>
      </c>
      <c r="H207">
        <v>0.21029900000000001</v>
      </c>
      <c r="J207" s="3">
        <f>(F207-A207)/365</f>
        <v>8.0410958904109595</v>
      </c>
      <c r="K207" s="3">
        <f>(LN(D207/G207)+H207^2*J207/2)/(H207*SQRT(J207))</f>
        <v>-0.1443464987004987</v>
      </c>
      <c r="L207" s="3">
        <f>K207-H207*SQRT(J207)</f>
        <v>-0.74068771685588897</v>
      </c>
      <c r="M207" s="3">
        <f>EXP(-E207*J207)*(D207*_xlfn.NORM.DIST(K207,0,1,TRUE)-G207*_xlfn.NORM.DIST(L207,0,1,TRUE))</f>
        <v>6325.1592848033424</v>
      </c>
      <c r="N207" s="3">
        <f>EXP(-E207*J207)*(G207*_xlfn.NORM.DIST(-L207,0,1,TRUE)-D207*_xlfn.NORM.DIST(-K207,0,1,TRUE))</f>
        <v>19600.542919177042</v>
      </c>
      <c r="O207" s="3" t="b">
        <f>(M207-N207)=EXP(-E207*J207)*(D207-G207)</f>
        <v>1</v>
      </c>
    </row>
    <row r="208" spans="1:15" x14ac:dyDescent="0.3">
      <c r="A208" s="1">
        <v>45987</v>
      </c>
      <c r="B208" t="s">
        <v>17</v>
      </c>
      <c r="C208">
        <v>49559.07</v>
      </c>
      <c r="D208">
        <v>49483.454680000003</v>
      </c>
      <c r="E208" s="2">
        <v>1.4718640998285034E-2</v>
      </c>
      <c r="F208" s="1">
        <v>48922</v>
      </c>
      <c r="G208">
        <v>69382.698000000004</v>
      </c>
      <c r="H208">
        <v>0.20885899999999999</v>
      </c>
      <c r="J208" s="3">
        <f>(F208-A208)/365</f>
        <v>8.0410958904109595</v>
      </c>
      <c r="K208" s="3">
        <f>(LN(D208/G208)+H208^2*J208/2)/(H208*SQRT(J208))</f>
        <v>-0.27456705834248546</v>
      </c>
      <c r="L208" s="3">
        <f>K208-H208*SQRT(J208)</f>
        <v>-0.86682489353293635</v>
      </c>
      <c r="M208" s="3">
        <f>EXP(-E208*J208)*(D208*_xlfn.NORM.DIST(K208,0,1,TRUE)-G208*_xlfn.NORM.DIST(L208,0,1,TRUE))</f>
        <v>5327.3122946375688</v>
      </c>
      <c r="N208" s="3">
        <f>EXP(-E208*J208)*(G208*_xlfn.NORM.DIST(-L208,0,1,TRUE)-D208*_xlfn.NORM.DIST(-K208,0,1,TRUE))</f>
        <v>23005.432056499965</v>
      </c>
      <c r="O208" s="3" t="b">
        <f>(M208-N208)=EXP(-E208*J208)*(D208-G208)</f>
        <v>1</v>
      </c>
    </row>
    <row r="209" spans="1:15" x14ac:dyDescent="0.3">
      <c r="A209" s="1">
        <v>45987</v>
      </c>
      <c r="B209" t="s">
        <v>17</v>
      </c>
      <c r="C209">
        <v>49559.07</v>
      </c>
      <c r="D209">
        <v>49483.454680000003</v>
      </c>
      <c r="E209" s="2">
        <v>1.4718640998285034E-2</v>
      </c>
      <c r="F209" s="1">
        <v>48922</v>
      </c>
      <c r="G209">
        <v>74338.604999999996</v>
      </c>
      <c r="H209">
        <v>0.20830499999999999</v>
      </c>
      <c r="J209" s="3">
        <f>(F209-A209)/365</f>
        <v>8.0410958904109595</v>
      </c>
      <c r="K209" s="3">
        <f>(LN(D209/G209)+H209^2*J209/2)/(H209*SQRT(J209))</f>
        <v>-0.39367143624497192</v>
      </c>
      <c r="L209" s="3">
        <f>K209-H209*SQRT(J209)</f>
        <v>-0.98435830326696716</v>
      </c>
      <c r="M209" s="3">
        <f>EXP(-E209*J209)*(D209*_xlfn.NORM.DIST(K209,0,1,TRUE)-G209*_xlfn.NORM.DIST(L209,0,1,TRUE))</f>
        <v>4520.6406324671216</v>
      </c>
      <c r="N209" s="3">
        <f>EXP(-E209*J209)*(G209*_xlfn.NORM.DIST(-L209,0,1,TRUE)-D209*_xlfn.NORM.DIST(-K209,0,1,TRUE))</f>
        <v>26601.496521818211</v>
      </c>
      <c r="O209" s="3" t="b">
        <f>(M209-N209)=EXP(-E209*J209)*(D209-G209)</f>
        <v>1</v>
      </c>
    </row>
    <row r="210" spans="1:15" x14ac:dyDescent="0.3">
      <c r="A210" s="1">
        <v>45987</v>
      </c>
      <c r="B210" t="s">
        <v>17</v>
      </c>
      <c r="C210">
        <v>49559.07</v>
      </c>
      <c r="D210">
        <v>49797.892879999999</v>
      </c>
      <c r="E210" s="2">
        <v>1.5431437685695631E-2</v>
      </c>
      <c r="F210" s="1">
        <v>49286</v>
      </c>
      <c r="G210">
        <v>24779.535</v>
      </c>
      <c r="H210">
        <v>0.27634700000000001</v>
      </c>
      <c r="J210" s="3">
        <f>(F210-A210)/365</f>
        <v>9.0383561643835613</v>
      </c>
      <c r="K210" s="3">
        <f>(LN(D210/G210)+H210^2*J210/2)/(H210*SQRT(J210))</f>
        <v>1.2554964489887179</v>
      </c>
      <c r="L210" s="3">
        <f>K210-H210*SQRT(J210)</f>
        <v>0.42469072538622599</v>
      </c>
      <c r="M210" s="3">
        <f>EXP(-E210*J210)*(D210*_xlfn.NORM.DIST(K210,0,1,TRUE)-G210*_xlfn.NORM.DIST(L210,0,1,TRUE))</f>
        <v>24460.367348340427</v>
      </c>
      <c r="N210" s="3">
        <f>EXP(-E210*J210)*(G210*_xlfn.NORM.DIST(-L210,0,1,TRUE)-D210*_xlfn.NORM.DIST(-K210,0,1,TRUE))</f>
        <v>2699.0264847453495</v>
      </c>
      <c r="O210" s="3" t="b">
        <f>(M210-N210)=EXP(-E210*J210)*(D210-G210)</f>
        <v>1</v>
      </c>
    </row>
    <row r="211" spans="1:15" x14ac:dyDescent="0.3">
      <c r="A211" s="1">
        <v>45987</v>
      </c>
      <c r="B211" t="s">
        <v>17</v>
      </c>
      <c r="C211">
        <v>49559.07</v>
      </c>
      <c r="D211">
        <v>49797.892879999999</v>
      </c>
      <c r="E211" s="2">
        <v>1.5431437685695631E-2</v>
      </c>
      <c r="F211" s="1">
        <v>49286</v>
      </c>
      <c r="G211">
        <v>29735.442000000003</v>
      </c>
      <c r="H211">
        <v>0.26045299999999999</v>
      </c>
      <c r="J211" s="3">
        <f>(F211-A211)/365</f>
        <v>9.0383561643835613</v>
      </c>
      <c r="K211" s="3">
        <f>(LN(D211/G211)+H211^2*J211/2)/(H211*SQRT(J211))</f>
        <v>1.0500275466874325</v>
      </c>
      <c r="L211" s="3">
        <f>K211-H211*SQRT(J211)</f>
        <v>0.26700532053900383</v>
      </c>
      <c r="M211" s="3">
        <f>EXP(-E211*J211)*(D211*_xlfn.NORM.DIST(K211,0,1,TRUE)-G211*_xlfn.NORM.DIST(L211,0,1,TRUE))</f>
        <v>21299.193500097928</v>
      </c>
      <c r="N211" s="3">
        <f>EXP(-E211*J211)*(G211*_xlfn.NORM.DIST(-L211,0,1,TRUE)-D211*_xlfn.NORM.DIST(-K211,0,1,TRUE))</f>
        <v>3848.5744685496925</v>
      </c>
      <c r="O211" s="3" t="b">
        <f>(M211-N211)=EXP(-E211*J211)*(D211-G211)</f>
        <v>1</v>
      </c>
    </row>
    <row r="212" spans="1:15" x14ac:dyDescent="0.3">
      <c r="A212" s="1">
        <v>45987</v>
      </c>
      <c r="B212" t="s">
        <v>17</v>
      </c>
      <c r="C212">
        <v>49559.07</v>
      </c>
      <c r="D212">
        <v>49797.892879999999</v>
      </c>
      <c r="E212" s="2">
        <v>1.5431437685695631E-2</v>
      </c>
      <c r="F212" s="1">
        <v>49286</v>
      </c>
      <c r="G212">
        <v>34691.349000000002</v>
      </c>
      <c r="H212">
        <v>0.24756700000000001</v>
      </c>
      <c r="J212" s="3">
        <f>(F212-A212)/365</f>
        <v>9.0383561643835613</v>
      </c>
      <c r="K212" s="3">
        <f>(LN(D212/G212)+H212^2*J212/2)/(H212*SQRT(J212))</f>
        <v>0.85782026011242385</v>
      </c>
      <c r="L212" s="3">
        <f>K212-H212*SQRT(J212)</f>
        <v>0.11353832263853003</v>
      </c>
      <c r="M212" s="3">
        <f>EXP(-E212*J212)*(D212*_xlfn.NORM.DIST(K212,0,1,TRUE)-G212*_xlfn.NORM.DIST(L212,0,1,TRUE))</f>
        <v>18395.674872031308</v>
      </c>
      <c r="N212" s="3">
        <f>EXP(-E212*J212)*(G212*_xlfn.NORM.DIST(-L212,0,1,TRUE)-D212*_xlfn.NORM.DIST(-K212,0,1,TRUE))</f>
        <v>5255.7776725298936</v>
      </c>
      <c r="O212" s="3" t="b">
        <f>(M212-N212)=EXP(-E212*J212)*(D212-G212)</f>
        <v>1</v>
      </c>
    </row>
    <row r="213" spans="1:15" x14ac:dyDescent="0.3">
      <c r="A213" s="1">
        <v>45987</v>
      </c>
      <c r="B213" t="s">
        <v>17</v>
      </c>
      <c r="C213">
        <v>49559.07</v>
      </c>
      <c r="D213">
        <v>49797.892879999999</v>
      </c>
      <c r="E213" s="2">
        <v>1.5431437685695631E-2</v>
      </c>
      <c r="F213" s="1">
        <v>49286</v>
      </c>
      <c r="G213">
        <v>39647.256000000001</v>
      </c>
      <c r="H213">
        <v>0.23710000000000001</v>
      </c>
      <c r="J213" s="3">
        <f>(F213-A213)/365</f>
        <v>9.0383561643835613</v>
      </c>
      <c r="K213" s="3">
        <f>(LN(D213/G213)+H213^2*J213/2)/(H213*SQRT(J213))</f>
        <v>0.6761972045653265</v>
      </c>
      <c r="L213" s="3">
        <f>K213-H213*SQRT(J213)</f>
        <v>-3.6616891719962741E-2</v>
      </c>
      <c r="M213" s="3">
        <f>EXP(-E213*J213)*(D213*_xlfn.NORM.DIST(K213,0,1,TRUE)-G213*_xlfn.NORM.DIST(L213,0,1,TRUE))</f>
        <v>15770.470415402331</v>
      </c>
      <c r="N213" s="3">
        <f>EXP(-E213*J213)*(G213*_xlfn.NORM.DIST(-L213,0,1,TRUE)-D213*_xlfn.NORM.DIST(-K213,0,1,TRUE))</f>
        <v>6941.2950479477522</v>
      </c>
      <c r="O213" s="3" t="b">
        <f>(M213-N213)=EXP(-E213*J213)*(D213-G213)</f>
        <v>1</v>
      </c>
    </row>
    <row r="214" spans="1:15" x14ac:dyDescent="0.3">
      <c r="A214" s="1">
        <v>45987</v>
      </c>
      <c r="B214" t="s">
        <v>17</v>
      </c>
      <c r="C214">
        <v>49559.07</v>
      </c>
      <c r="D214">
        <v>49797.892879999999</v>
      </c>
      <c r="E214" s="2">
        <v>1.5431437685695631E-2</v>
      </c>
      <c r="F214" s="1">
        <v>49286</v>
      </c>
      <c r="G214">
        <v>44603.163</v>
      </c>
      <c r="H214">
        <v>0.22867799999999999</v>
      </c>
      <c r="J214" s="3">
        <f>(F214-A214)/365</f>
        <v>9.0383561643835613</v>
      </c>
      <c r="K214" s="3">
        <f>(LN(D214/G214)+H214^2*J214/2)/(H214*SQRT(J214))</f>
        <v>0.50399269430656168</v>
      </c>
      <c r="L214" s="3">
        <f>K214-H214*SQRT(J214)</f>
        <v>-0.18350161995040737</v>
      </c>
      <c r="M214" s="3">
        <f>EXP(-E214*J214)*(D214*_xlfn.NORM.DIST(K214,0,1,TRUE)-G214*_xlfn.NORM.DIST(L214,0,1,TRUE))</f>
        <v>13437.538834974157</v>
      </c>
      <c r="N214" s="3">
        <f>EXP(-E214*J214)*(G214*_xlfn.NORM.DIST(-L214,0,1,TRUE)-D214*_xlfn.NORM.DIST(-K214,0,1,TRUE))</f>
        <v>8919.0852995664081</v>
      </c>
      <c r="O214" s="3" t="b">
        <f>(M214-N214)=EXP(-E214*J214)*(D214-G214)</f>
        <v>1</v>
      </c>
    </row>
    <row r="215" spans="1:15" x14ac:dyDescent="0.3">
      <c r="A215" s="1">
        <v>45987</v>
      </c>
      <c r="B215" t="s">
        <v>17</v>
      </c>
      <c r="C215">
        <v>49559.07</v>
      </c>
      <c r="D215">
        <v>49797.892879999999</v>
      </c>
      <c r="E215" s="2">
        <v>1.5431437685695631E-2</v>
      </c>
      <c r="F215" s="1">
        <v>49286</v>
      </c>
      <c r="G215">
        <v>47081.116500000004</v>
      </c>
      <c r="H215">
        <v>0.22514700000000001</v>
      </c>
      <c r="J215" s="3">
        <f>(F215-A215)/365</f>
        <v>9.0383561643835613</v>
      </c>
      <c r="K215" s="3">
        <f>(LN(D215/G215)+H215^2*J215/2)/(H215*SQRT(J215))</f>
        <v>0.42132080453959442</v>
      </c>
      <c r="L215" s="3">
        <f>K215-H215*SQRT(J215)</f>
        <v>-0.25555796111348039</v>
      </c>
      <c r="M215" s="3">
        <f>EXP(-E215*J215)*(D215*_xlfn.NORM.DIST(K215,0,1,TRUE)-G215*_xlfn.NORM.DIST(L215,0,1,TRUE))</f>
        <v>12382.415435553021</v>
      </c>
      <c r="N215" s="3">
        <f>EXP(-E215*J215)*(G215*_xlfn.NORM.DIST(-L215,0,1,TRUE)-D215*_xlfn.NORM.DIST(-K215,0,1,TRUE))</f>
        <v>10019.322816168697</v>
      </c>
      <c r="O215" s="3" t="b">
        <f>(M215-N215)=EXP(-E215*J215)*(D215-G215)</f>
        <v>0</v>
      </c>
    </row>
    <row r="216" spans="1:15" x14ac:dyDescent="0.3">
      <c r="A216" s="1">
        <v>45987</v>
      </c>
      <c r="B216" t="s">
        <v>17</v>
      </c>
      <c r="C216">
        <v>49559.07</v>
      </c>
      <c r="D216">
        <v>49797.892879999999</v>
      </c>
      <c r="E216" s="2">
        <v>1.5431437685695631E-2</v>
      </c>
      <c r="F216" s="1">
        <v>49286</v>
      </c>
      <c r="G216">
        <v>49559.07</v>
      </c>
      <c r="H216">
        <v>0.22203100000000001</v>
      </c>
      <c r="J216" s="3">
        <f>(F216-A216)/365</f>
        <v>9.0383561643835613</v>
      </c>
      <c r="K216" s="3">
        <f>(LN(D216/G216)+H216^2*J216/2)/(H216*SQRT(J216))</f>
        <v>0.34095738381875496</v>
      </c>
      <c r="L216" s="3">
        <f>K216-H216*SQRT(J216)</f>
        <v>-0.32655348337786705</v>
      </c>
      <c r="M216" s="3">
        <f>EXP(-E216*J216)*(D216*_xlfn.NORM.DIST(K216,0,1,TRUE)-G216*_xlfn.NORM.DIST(L216,0,1,TRUE))</f>
        <v>11401.076110759186</v>
      </c>
      <c r="N216" s="3">
        <f>EXP(-E216*J216)*(G216*_xlfn.NORM.DIST(-L216,0,1,TRUE)-D216*_xlfn.NORM.DIST(-K216,0,1,TRUE))</f>
        <v>11193.344407398268</v>
      </c>
      <c r="O216" s="3" t="b">
        <f>(M216-N216)=EXP(-E216*J216)*(D216-G216)</f>
        <v>1</v>
      </c>
    </row>
    <row r="217" spans="1:15" x14ac:dyDescent="0.3">
      <c r="A217" s="1">
        <v>45987</v>
      </c>
      <c r="B217" t="s">
        <v>17</v>
      </c>
      <c r="C217">
        <v>49559.07</v>
      </c>
      <c r="D217">
        <v>49797.892879999999</v>
      </c>
      <c r="E217" s="2">
        <v>1.5431437685695631E-2</v>
      </c>
      <c r="F217" s="1">
        <v>49286</v>
      </c>
      <c r="G217">
        <v>52037.023499999996</v>
      </c>
      <c r="H217">
        <v>0.219304</v>
      </c>
      <c r="J217" s="3">
        <f>(F217-A217)/365</f>
        <v>9.0383561643835613</v>
      </c>
      <c r="K217" s="3">
        <f>(LN(D217/G217)+H217^2*J217/2)/(H217*SQRT(J217))</f>
        <v>0.26294614998027727</v>
      </c>
      <c r="L217" s="3">
        <f>K217-H217*SQRT(J217)</f>
        <v>-0.39636630287399971</v>
      </c>
      <c r="M217" s="3">
        <f>EXP(-E217*J217)*(D217*_xlfn.NORM.DIST(K217,0,1,TRUE)-G217*_xlfn.NORM.DIST(L217,0,1,TRUE))</f>
        <v>10492.292544056821</v>
      </c>
      <c r="N217" s="3">
        <f>EXP(-E217*J217)*(G217*_xlfn.NORM.DIST(-L217,0,1,TRUE)-D217*_xlfn.NORM.DIST(-K217,0,1,TRUE))</f>
        <v>12439.921756719319</v>
      </c>
      <c r="O217" s="3" t="b">
        <f>(M217-N217)=EXP(-E217*J217)*(D217-G217)</f>
        <v>0</v>
      </c>
    </row>
    <row r="218" spans="1:15" x14ac:dyDescent="0.3">
      <c r="A218" s="1">
        <v>45987</v>
      </c>
      <c r="B218" t="s">
        <v>17</v>
      </c>
      <c r="C218">
        <v>49559.07</v>
      </c>
      <c r="D218">
        <v>49797.892879999999</v>
      </c>
      <c r="E218" s="2">
        <v>1.5431437685695631E-2</v>
      </c>
      <c r="F218" s="1">
        <v>49286</v>
      </c>
      <c r="G218">
        <v>54514.976999999999</v>
      </c>
      <c r="H218">
        <v>0.21694099999999999</v>
      </c>
      <c r="J218" s="3">
        <f>(F218-A218)/365</f>
        <v>9.0383561643835613</v>
      </c>
      <c r="K218" s="3">
        <f>(LN(D218/G218)+H218^2*J218/2)/(H218*SQRT(J218))</f>
        <v>0.18734055178997147</v>
      </c>
      <c r="L218" s="3">
        <f>K218-H218*SQRT(J218)</f>
        <v>-0.4648678111886323</v>
      </c>
      <c r="M218" s="3">
        <f>EXP(-E218*J218)*(D218*_xlfn.NORM.DIST(K218,0,1,TRUE)-G218*_xlfn.NORM.DIST(L218,0,1,TRUE))</f>
        <v>9654.1356196267971</v>
      </c>
      <c r="N218" s="3">
        <f>EXP(-E218*J218)*(G218*_xlfn.NORM.DIST(-L218,0,1,TRUE)-D218*_xlfn.NORM.DIST(-K218,0,1,TRUE))</f>
        <v>13757.125748312708</v>
      </c>
      <c r="O218" s="3" t="b">
        <f>(M218-N218)=EXP(-E218*J218)*(D218-G218)</f>
        <v>1</v>
      </c>
    </row>
    <row r="219" spans="1:15" x14ac:dyDescent="0.3">
      <c r="A219" s="1">
        <v>45987</v>
      </c>
      <c r="B219" t="s">
        <v>17</v>
      </c>
      <c r="C219">
        <v>49559.07</v>
      </c>
      <c r="D219">
        <v>49797.892879999999</v>
      </c>
      <c r="E219" s="2">
        <v>1.5431437685695631E-2</v>
      </c>
      <c r="F219" s="1">
        <v>49286</v>
      </c>
      <c r="G219">
        <v>59470.884000000005</v>
      </c>
      <c r="H219">
        <v>0.21320700000000001</v>
      </c>
      <c r="J219" s="3">
        <f>(F219-A219)/365</f>
        <v>9.0383561643835613</v>
      </c>
      <c r="K219" s="3">
        <f>(LN(D219/G219)+H219^2*J219/2)/(H219*SQRT(J219))</f>
        <v>4.3550512958655856E-2</v>
      </c>
      <c r="L219" s="3">
        <f>K219-H219*SQRT(J219)</f>
        <v>-0.59743200507887129</v>
      </c>
      <c r="M219" s="3">
        <f>EXP(-E219*J219)*(D219*_xlfn.NORM.DIST(K219,0,1,TRUE)-G219*_xlfn.NORM.DIST(L219,0,1,TRUE))</f>
        <v>8178.7511360771387</v>
      </c>
      <c r="N219" s="3">
        <f>EXP(-E219*J219)*(G219*_xlfn.NORM.DIST(-L219,0,1,TRUE)-D219*_xlfn.NORM.DIST(-K219,0,1,TRUE))</f>
        <v>16592.463096809894</v>
      </c>
      <c r="O219" s="3" t="b">
        <f>(M219-N219)=EXP(-E219*J219)*(D219-G219)</f>
        <v>1</v>
      </c>
    </row>
    <row r="220" spans="1:15" x14ac:dyDescent="0.3">
      <c r="A220" s="1">
        <v>45987</v>
      </c>
      <c r="B220" t="s">
        <v>17</v>
      </c>
      <c r="C220">
        <v>49559.07</v>
      </c>
      <c r="D220">
        <v>49797.892879999999</v>
      </c>
      <c r="E220" s="2">
        <v>1.5431437685695631E-2</v>
      </c>
      <c r="F220" s="1">
        <v>49286</v>
      </c>
      <c r="G220">
        <v>64426.790999999997</v>
      </c>
      <c r="H220">
        <v>0.21063899999999999</v>
      </c>
      <c r="J220" s="3">
        <f>(F220-A220)/365</f>
        <v>9.0383561643835613</v>
      </c>
      <c r="K220" s="3">
        <f>(LN(D220/G220)+H220^2*J220/2)/(H220*SQRT(J220))</f>
        <v>-9.0083437806110708E-2</v>
      </c>
      <c r="L220" s="3">
        <f>K220-H220*SQRT(J220)</f>
        <v>-0.72334555685898727</v>
      </c>
      <c r="M220" s="3">
        <f>EXP(-E220*J220)*(D220*_xlfn.NORM.DIST(K220,0,1,TRUE)-G220*_xlfn.NORM.DIST(L220,0,1,TRUE))</f>
        <v>6948.5833653372028</v>
      </c>
      <c r="N220" s="3">
        <f>EXP(-E220*J220)*(G220*_xlfn.NORM.DIST(-L220,0,1,TRUE)-D220*_xlfn.NORM.DIST(-K220,0,1,TRUE))</f>
        <v>19673.017158116774</v>
      </c>
      <c r="O220" s="3" t="b">
        <f>(M220-N220)=EXP(-E220*J220)*(D220-G220)</f>
        <v>1</v>
      </c>
    </row>
    <row r="221" spans="1:15" x14ac:dyDescent="0.3">
      <c r="A221" s="1">
        <v>45987</v>
      </c>
      <c r="B221" t="s">
        <v>17</v>
      </c>
      <c r="C221">
        <v>49559.07</v>
      </c>
      <c r="D221">
        <v>49797.892879999999</v>
      </c>
      <c r="E221" s="2">
        <v>1.5431437685695631E-2</v>
      </c>
      <c r="F221" s="1">
        <v>49286</v>
      </c>
      <c r="G221">
        <v>69382.698000000004</v>
      </c>
      <c r="H221">
        <v>0.20905000000000001</v>
      </c>
      <c r="J221" s="3">
        <f>(F221-A221)/365</f>
        <v>9.0383561643835613</v>
      </c>
      <c r="K221" s="3">
        <f>(LN(D221/G221)+H221^2*J221/2)/(H221*SQRT(J221))</f>
        <v>-0.21347873483516128</v>
      </c>
      <c r="L221" s="3">
        <f>K221-H221*SQRT(J221)</f>
        <v>-0.8419637066969905</v>
      </c>
      <c r="M221" s="3">
        <f>EXP(-E221*J221)*(D221*_xlfn.NORM.DIST(K221,0,1,TRUE)-G221*_xlfn.NORM.DIST(L221,0,1,TRUE))</f>
        <v>5932.1206346956915</v>
      </c>
      <c r="N221" s="3">
        <f>EXP(-E221*J221)*(G221*_xlfn.NORM.DIST(-L221,0,1,TRUE)-D221*_xlfn.NORM.DIST(-K221,0,1,TRUE))</f>
        <v>22967.276259522103</v>
      </c>
      <c r="O221" s="3" t="b">
        <f>(M221-N221)=EXP(-E221*J221)*(D221-G221)</f>
        <v>1</v>
      </c>
    </row>
    <row r="222" spans="1:15" x14ac:dyDescent="0.3">
      <c r="A222" s="1">
        <v>45987</v>
      </c>
      <c r="B222" t="s">
        <v>17</v>
      </c>
      <c r="C222">
        <v>49559.07</v>
      </c>
      <c r="D222">
        <v>49797.892879999999</v>
      </c>
      <c r="E222" s="2">
        <v>1.5431437685695631E-2</v>
      </c>
      <c r="F222" s="1">
        <v>49286</v>
      </c>
      <c r="G222">
        <v>74338.604999999996</v>
      </c>
      <c r="H222">
        <v>0.20826800000000001</v>
      </c>
      <c r="J222" s="3">
        <f>(F222-A222)/365</f>
        <v>9.0383561643835613</v>
      </c>
      <c r="K222" s="3">
        <f>(LN(D222/G222)+H222^2*J222/2)/(H222*SQRT(J222))</f>
        <v>-0.32682437940170023</v>
      </c>
      <c r="L222" s="3">
        <f>K222-H222*SQRT(J222)</f>
        <v>-0.95295835749172397</v>
      </c>
      <c r="M222" s="3">
        <f>EXP(-E222*J222)*(D222*_xlfn.NORM.DIST(K222,0,1,TRUE)-G222*_xlfn.NORM.DIST(L222,0,1,TRUE))</f>
        <v>5096.7454316048161</v>
      </c>
      <c r="N222" s="3">
        <f>EXP(-E222*J222)*(G222*_xlfn.NORM.DIST(-L222,0,1,TRUE)-D222*_xlfn.NORM.DIST(-K222,0,1,TRUE))</f>
        <v>26442.62288847805</v>
      </c>
      <c r="O222" s="3" t="b">
        <f>(M222-N222)=EXP(-E222*J222)*(D222-G222)</f>
        <v>1</v>
      </c>
    </row>
    <row r="223" spans="1:15" x14ac:dyDescent="0.3">
      <c r="A223" s="1">
        <v>45987</v>
      </c>
      <c r="B223" t="s">
        <v>17</v>
      </c>
      <c r="C223">
        <v>49559.07</v>
      </c>
      <c r="D223">
        <v>50250.097390000003</v>
      </c>
      <c r="E223" s="2">
        <v>1.6219712321017564E-2</v>
      </c>
      <c r="F223" s="1">
        <v>49657</v>
      </c>
      <c r="G223">
        <v>24779.535</v>
      </c>
      <c r="H223">
        <v>0.273503</v>
      </c>
      <c r="J223" s="3">
        <f>(F223-A223)/365</f>
        <v>10.054794520547945</v>
      </c>
      <c r="K223" s="3">
        <f>(LN(D223/G223)+H223^2*J223/2)/(H223*SQRT(J223))</f>
        <v>1.2488351841996601</v>
      </c>
      <c r="L223" s="3">
        <f>K223-H223*SQRT(J223)</f>
        <v>0.3815764261389768</v>
      </c>
      <c r="M223" s="3">
        <f>EXP(-E223*J223)*(D223*_xlfn.NORM.DIST(K223,0,1,TRUE)-G223*_xlfn.NORM.DIST(L223,0,1,TRUE))</f>
        <v>24515.54864841537</v>
      </c>
      <c r="N223" s="3">
        <f>EXP(-E223*J223)*(G223*_xlfn.NORM.DIST(-L223,0,1,TRUE)-D223*_xlfn.NORM.DIST(-K223,0,1,TRUE))</f>
        <v>2877.8414864959145</v>
      </c>
      <c r="O223" s="3" t="b">
        <f>(M223-N223)=EXP(-E223*J223)*(D223-G223)</f>
        <v>1</v>
      </c>
    </row>
    <row r="224" spans="1:15" x14ac:dyDescent="0.3">
      <c r="A224" s="1">
        <v>45987</v>
      </c>
      <c r="B224" t="s">
        <v>17</v>
      </c>
      <c r="C224">
        <v>49559.07</v>
      </c>
      <c r="D224">
        <v>50250.097390000003</v>
      </c>
      <c r="E224" s="2">
        <v>1.6219712321017564E-2</v>
      </c>
      <c r="F224" s="1">
        <v>49657</v>
      </c>
      <c r="G224">
        <v>29735.442000000003</v>
      </c>
      <c r="H224">
        <v>0.25849299999999997</v>
      </c>
      <c r="J224" s="3">
        <f>(F224-A224)/365</f>
        <v>10.054794520547945</v>
      </c>
      <c r="K224" s="3">
        <f>(LN(D224/G224)+H224^2*J224/2)/(H224*SQRT(J224))</f>
        <v>1.0499394385455594</v>
      </c>
      <c r="L224" s="3">
        <f>K224-H224*SQRT(J224)</f>
        <v>0.23027633376286893</v>
      </c>
      <c r="M224" s="3">
        <f>EXP(-E224*J224)*(D224*_xlfn.NORM.DIST(K224,0,1,TRUE)-G224*_xlfn.NORM.DIST(L224,0,1,TRUE))</f>
        <v>21487.919506850052</v>
      </c>
      <c r="N224" s="3">
        <f>EXP(-E224*J224)*(G224*_xlfn.NORM.DIST(-L224,0,1,TRUE)-D224*_xlfn.NORM.DIST(-K224,0,1,TRUE))</f>
        <v>4060.3457038158399</v>
      </c>
      <c r="O224" s="3" t="b">
        <f>(M224-N224)=EXP(-E224*J224)*(D224-G224)</f>
        <v>1</v>
      </c>
    </row>
    <row r="225" spans="1:15" x14ac:dyDescent="0.3">
      <c r="A225" s="1">
        <v>45987</v>
      </c>
      <c r="B225" t="s">
        <v>17</v>
      </c>
      <c r="C225">
        <v>49559.07</v>
      </c>
      <c r="D225">
        <v>50250.097390000003</v>
      </c>
      <c r="E225" s="2">
        <v>1.6219712321017564E-2</v>
      </c>
      <c r="F225" s="1">
        <v>49657</v>
      </c>
      <c r="G225">
        <v>34691.349000000002</v>
      </c>
      <c r="H225">
        <v>0.246334</v>
      </c>
      <c r="J225" s="3">
        <f>(F225-A225)/365</f>
        <v>10.054794520547945</v>
      </c>
      <c r="K225" s="3">
        <f>(LN(D225/G225)+H225^2*J225/2)/(H225*SQRT(J225))</f>
        <v>0.86490857921039399</v>
      </c>
      <c r="L225" s="3">
        <f>K225-H225*SQRT(J225)</f>
        <v>8.3800807419516454E-2</v>
      </c>
      <c r="M225" s="3">
        <f>EXP(-E225*J225)*(D225*_xlfn.NORM.DIST(K225,0,1,TRUE)-G225*_xlfn.NORM.DIST(L225,0,1,TRUE))</f>
        <v>18706.696876556307</v>
      </c>
      <c r="N225" s="3">
        <f>EXP(-E225*J225)*(G225*_xlfn.NORM.DIST(-L225,0,1,TRUE)-D225*_xlfn.NORM.DIST(-K225,0,1,TRUE))</f>
        <v>5489.2564324073273</v>
      </c>
      <c r="O225" s="3" t="b">
        <f>(M225-N225)=EXP(-E225*J225)*(D225-G225)</f>
        <v>1</v>
      </c>
    </row>
    <row r="226" spans="1:15" x14ac:dyDescent="0.3">
      <c r="A226" s="1">
        <v>45987</v>
      </c>
      <c r="B226" t="s">
        <v>17</v>
      </c>
      <c r="C226">
        <v>49559.07</v>
      </c>
      <c r="D226">
        <v>50250.097390000003</v>
      </c>
      <c r="E226" s="2">
        <v>1.6219712321017564E-2</v>
      </c>
      <c r="F226" s="1">
        <v>49657</v>
      </c>
      <c r="G226">
        <v>39647.256000000001</v>
      </c>
      <c r="H226">
        <v>0.236452</v>
      </c>
      <c r="J226" s="3">
        <f>(F226-A226)/365</f>
        <v>10.054794520547945</v>
      </c>
      <c r="K226" s="3">
        <f>(LN(D226/G226)+H226^2*J226/2)/(H226*SQRT(J226))</f>
        <v>0.69096979996323249</v>
      </c>
      <c r="L226" s="3">
        <f>K226-H226*SQRT(J226)</f>
        <v>-5.8802845532300307E-2</v>
      </c>
      <c r="M226" s="3">
        <f>EXP(-E226*J226)*(D226*_xlfn.NORM.DIST(K226,0,1,TRUE)-G226*_xlfn.NORM.DIST(L226,0,1,TRUE))</f>
        <v>16187.724050252637</v>
      </c>
      <c r="N226" s="3">
        <f>EXP(-E226*J226)*(G226*_xlfn.NORM.DIST(-L226,0,1,TRUE)-D226*_xlfn.NORM.DIST(-K226,0,1,TRUE))</f>
        <v>7180.4169649888991</v>
      </c>
      <c r="O226" s="3" t="b">
        <f>(M226-N226)=EXP(-E226*J226)*(D226-G226)</f>
        <v>1</v>
      </c>
    </row>
    <row r="227" spans="1:15" x14ac:dyDescent="0.3">
      <c r="A227" s="1">
        <v>45987</v>
      </c>
      <c r="B227" t="s">
        <v>17</v>
      </c>
      <c r="C227">
        <v>49559.07</v>
      </c>
      <c r="D227">
        <v>50250.097390000003</v>
      </c>
      <c r="E227" s="2">
        <v>1.6219712321017564E-2</v>
      </c>
      <c r="F227" s="1">
        <v>49657</v>
      </c>
      <c r="G227">
        <v>44603.163</v>
      </c>
      <c r="H227">
        <v>0.22847300000000001</v>
      </c>
      <c r="J227" s="3">
        <f>(F227-A227)/365</f>
        <v>10.054794520547945</v>
      </c>
      <c r="K227" s="3">
        <f>(LN(D227/G227)+H227^2*J227/2)/(H227*SQRT(J227))</f>
        <v>0.52678020510934742</v>
      </c>
      <c r="L227" s="3">
        <f>K227-H227*SQRT(J227)</f>
        <v>-0.19769159311735762</v>
      </c>
      <c r="M227" s="3">
        <f>EXP(-E227*J227)*(D227*_xlfn.NORM.DIST(K227,0,1,TRUE)-G227*_xlfn.NORM.DIST(L227,0,1,TRUE))</f>
        <v>13940.593826873974</v>
      </c>
      <c r="N227" s="3">
        <f>EXP(-E227*J227)*(G227*_xlfn.NORM.DIST(-L227,0,1,TRUE)-D227*_xlfn.NORM.DIST(-K227,0,1,TRUE))</f>
        <v>9143.4201004954739</v>
      </c>
      <c r="O227" s="3" t="b">
        <f>(M227-N227)=EXP(-E227*J227)*(D227-G227)</f>
        <v>1</v>
      </c>
    </row>
    <row r="228" spans="1:15" x14ac:dyDescent="0.3">
      <c r="A228" s="1">
        <v>45987</v>
      </c>
      <c r="B228" t="s">
        <v>17</v>
      </c>
      <c r="C228">
        <v>49559.07</v>
      </c>
      <c r="D228">
        <v>50250.097390000003</v>
      </c>
      <c r="E228" s="2">
        <v>1.6219712321017564E-2</v>
      </c>
      <c r="F228" s="1">
        <v>49657</v>
      </c>
      <c r="G228">
        <v>47081.116500000004</v>
      </c>
      <c r="H228">
        <v>0.22511100000000001</v>
      </c>
      <c r="J228" s="3">
        <f>(F228-A228)/365</f>
        <v>10.054794520547945</v>
      </c>
      <c r="K228" s="3">
        <f>(LN(D228/G228)+H228^2*J228/2)/(H228*SQRT(J228))</f>
        <v>0.44816288226418372</v>
      </c>
      <c r="L228" s="3">
        <f>K228-H228*SQRT(J228)</f>
        <v>-0.26564825065135461</v>
      </c>
      <c r="M228" s="3">
        <f>EXP(-E228*J228)*(D228*_xlfn.NORM.DIST(K228,0,1,TRUE)-G228*_xlfn.NORM.DIST(L228,0,1,TRUE))</f>
        <v>12919.787875202321</v>
      </c>
      <c r="N228" s="3">
        <f>EXP(-E228*J228)*(G228*_xlfn.NORM.DIST(-L228,0,1,TRUE)-D228*_xlfn.NORM.DIST(-K228,0,1,TRUE))</f>
        <v>10227.68082826645</v>
      </c>
      <c r="O228" s="3" t="b">
        <f>(M228-N228)=EXP(-E228*J228)*(D228-G228)</f>
        <v>1</v>
      </c>
    </row>
    <row r="229" spans="1:15" x14ac:dyDescent="0.3">
      <c r="A229" s="1">
        <v>45987</v>
      </c>
      <c r="B229" t="s">
        <v>17</v>
      </c>
      <c r="C229">
        <v>49559.07</v>
      </c>
      <c r="D229">
        <v>50250.097390000003</v>
      </c>
      <c r="E229" s="2">
        <v>1.6219712321017564E-2</v>
      </c>
      <c r="F229" s="1">
        <v>49657</v>
      </c>
      <c r="G229">
        <v>49559.07</v>
      </c>
      <c r="H229">
        <v>0.222131</v>
      </c>
      <c r="J229" s="3">
        <f>(F229-A229)/365</f>
        <v>10.054794520547945</v>
      </c>
      <c r="K229" s="3">
        <f>(LN(D229/G229)+H229^2*J229/2)/(H229*SQRT(J229))</f>
        <v>0.37184008821221365</v>
      </c>
      <c r="L229" s="3">
        <f>K229-H229*SQRT(J229)</f>
        <v>-0.33252167449889974</v>
      </c>
      <c r="M229" s="3">
        <f>EXP(-E229*J229)*(D229*_xlfn.NORM.DIST(K229,0,1,TRUE)-G229*_xlfn.NORM.DIST(L229,0,1,TRUE))</f>
        <v>11966.876144881688</v>
      </c>
      <c r="N229" s="3">
        <f>EXP(-E229*J229)*(G229*_xlfn.NORM.DIST(-L229,0,1,TRUE)-D229*_xlfn.NORM.DIST(-K229,0,1,TRUE))</f>
        <v>11379.835777388429</v>
      </c>
      <c r="O229" s="3" t="b">
        <f>(M229-N229)=EXP(-E229*J229)*(D229-G229)</f>
        <v>1</v>
      </c>
    </row>
    <row r="230" spans="1:15" x14ac:dyDescent="0.3">
      <c r="A230" s="1">
        <v>45987</v>
      </c>
      <c r="B230" t="s">
        <v>17</v>
      </c>
      <c r="C230">
        <v>49559.07</v>
      </c>
      <c r="D230">
        <v>50250.097390000003</v>
      </c>
      <c r="E230" s="2">
        <v>1.6219712321017564E-2</v>
      </c>
      <c r="F230" s="1">
        <v>49657</v>
      </c>
      <c r="G230">
        <v>52037.023499999996</v>
      </c>
      <c r="H230">
        <v>0.21950600000000001</v>
      </c>
      <c r="J230" s="3">
        <f>(F230-A230)/365</f>
        <v>10.054794520547945</v>
      </c>
      <c r="K230" s="3">
        <f>(LN(D230/G230)+H230^2*J230/2)/(H230*SQRT(J230))</f>
        <v>0.29781636494613256</v>
      </c>
      <c r="L230" s="3">
        <f>K230-H230*SQRT(J230)</f>
        <v>-0.39822170756813008</v>
      </c>
      <c r="M230" s="3">
        <f>EXP(-E230*J230)*(D230*_xlfn.NORM.DIST(K230,0,1,TRUE)-G230*_xlfn.NORM.DIST(L230,0,1,TRUE))</f>
        <v>11080.545745859503</v>
      </c>
      <c r="N230" s="3">
        <f>EXP(-E230*J230)*(G230*_xlfn.NORM.DIST(-L230,0,1,TRUE)-D230*_xlfn.NORM.DIST(-K230,0,1,TRUE))</f>
        <v>12598.572057808864</v>
      </c>
      <c r="O230" s="3" t="b">
        <f>(M230-N230)=EXP(-E230*J230)*(D230-G230)</f>
        <v>1</v>
      </c>
    </row>
    <row r="231" spans="1:15" x14ac:dyDescent="0.3">
      <c r="A231" s="1">
        <v>45987</v>
      </c>
      <c r="B231" t="s">
        <v>17</v>
      </c>
      <c r="C231">
        <v>49559.07</v>
      </c>
      <c r="D231">
        <v>50250.097390000003</v>
      </c>
      <c r="E231" s="2">
        <v>1.6219712321017564E-2</v>
      </c>
      <c r="F231" s="1">
        <v>49657</v>
      </c>
      <c r="G231">
        <v>54514.976999999999</v>
      </c>
      <c r="H231">
        <v>0.21721299999999999</v>
      </c>
      <c r="J231" s="3">
        <f>(F231-A231)/365</f>
        <v>10.054794520547945</v>
      </c>
      <c r="K231" s="3">
        <f>(LN(D231/G231)+H231^2*J231/2)/(H231*SQRT(J231))</f>
        <v>0.22610993923562825</v>
      </c>
      <c r="L231" s="3">
        <f>K231-H231*SQRT(J231)</f>
        <v>-0.4626571917085851</v>
      </c>
      <c r="M231" s="3">
        <f>EXP(-E231*J231)*(D231*_xlfn.NORM.DIST(K231,0,1,TRUE)-G231*_xlfn.NORM.DIST(L231,0,1,TRUE))</f>
        <v>10259.058243519748</v>
      </c>
      <c r="N231" s="3">
        <f>EXP(-E231*J231)*(G231*_xlfn.NORM.DIST(-L231,0,1,TRUE)-D231*_xlfn.NORM.DIST(-K231,0,1,TRUE))</f>
        <v>13882.151234911735</v>
      </c>
      <c r="O231" s="3" t="b">
        <f>(M231-N231)=EXP(-E231*J231)*(D231-G231)</f>
        <v>0</v>
      </c>
    </row>
    <row r="232" spans="1:15" x14ac:dyDescent="0.3">
      <c r="A232" s="1">
        <v>45987</v>
      </c>
      <c r="B232" t="s">
        <v>17</v>
      </c>
      <c r="C232">
        <v>49559.07</v>
      </c>
      <c r="D232">
        <v>50250.097390000003</v>
      </c>
      <c r="E232" s="2">
        <v>1.6219712321017564E-2</v>
      </c>
      <c r="F232" s="1">
        <v>49657</v>
      </c>
      <c r="G232">
        <v>59470.884000000005</v>
      </c>
      <c r="H232">
        <v>0.213531</v>
      </c>
      <c r="J232" s="3">
        <f>(F232-A232)/365</f>
        <v>10.054794520547945</v>
      </c>
      <c r="K232" s="3">
        <f>(LN(D232/G232)+H232^2*J232/2)/(H232*SQRT(J232))</f>
        <v>8.9725308907616971E-2</v>
      </c>
      <c r="L232" s="3">
        <f>K232-H232*SQRT(J232)</f>
        <v>-0.5873664592538137</v>
      </c>
      <c r="M232" s="3">
        <f>EXP(-E232*J232)*(D232*_xlfn.NORM.DIST(K232,0,1,TRUE)-G232*_xlfn.NORM.DIST(L232,0,1,TRUE))</f>
        <v>8800.9838715444548</v>
      </c>
      <c r="N232" s="3">
        <f>EXP(-E232*J232)*(G232*_xlfn.NORM.DIST(-L232,0,1,TRUE)-D232*_xlfn.NORM.DIST(-K232,0,1,TRUE))</f>
        <v>16634.210221821679</v>
      </c>
      <c r="O232" s="3" t="b">
        <f>(M232-N232)=EXP(-E232*J232)*(D232-G232)</f>
        <v>1</v>
      </c>
    </row>
    <row r="233" spans="1:15" x14ac:dyDescent="0.3">
      <c r="A233" s="1">
        <v>45987</v>
      </c>
      <c r="B233" t="s">
        <v>17</v>
      </c>
      <c r="C233">
        <v>49559.07</v>
      </c>
      <c r="D233">
        <v>50250.097390000003</v>
      </c>
      <c r="E233" s="2">
        <v>1.6219712321017564E-2</v>
      </c>
      <c r="F233" s="1">
        <v>49657</v>
      </c>
      <c r="G233">
        <v>64426.790999999997</v>
      </c>
      <c r="H233">
        <v>0.21091099999999999</v>
      </c>
      <c r="J233" s="3">
        <f>(F233-A233)/365</f>
        <v>10.054794520547945</v>
      </c>
      <c r="K233" s="3">
        <f>(LN(D233/G233)+H233^2*J233/2)/(H233*SQRT(J233))</f>
        <v>-3.7203490393178169E-2</v>
      </c>
      <c r="L233" s="3">
        <f>K233-H233*SQRT(J233)</f>
        <v>-0.70598742300575201</v>
      </c>
      <c r="M233" s="3">
        <f>EXP(-E233*J233)*(D233*_xlfn.NORM.DIST(K233,0,1,TRUE)-G233*_xlfn.NORM.DIST(L233,0,1,TRUE))</f>
        <v>7569.7716611691994</v>
      </c>
      <c r="N233" s="3">
        <f>EXP(-E233*J233)*(G233*_xlfn.NORM.DIST(-L233,0,1,TRUE)-D233*_xlfn.NORM.DIST(-K233,0,1,TRUE))</f>
        <v>19613.131370331659</v>
      </c>
      <c r="O233" s="3" t="b">
        <f>(M233-N233)=EXP(-E233*J233)*(D233-G233)</f>
        <v>1</v>
      </c>
    </row>
    <row r="234" spans="1:15" x14ac:dyDescent="0.3">
      <c r="A234" s="1">
        <v>45987</v>
      </c>
      <c r="B234" t="s">
        <v>17</v>
      </c>
      <c r="C234">
        <v>49559.07</v>
      </c>
      <c r="D234">
        <v>50250.097390000003</v>
      </c>
      <c r="E234" s="2">
        <v>1.6219712321017564E-2</v>
      </c>
      <c r="F234" s="1">
        <v>49657</v>
      </c>
      <c r="G234">
        <v>69382.698000000004</v>
      </c>
      <c r="H234">
        <v>0.20918900000000001</v>
      </c>
      <c r="J234" s="3">
        <f>(F234-A234)/365</f>
        <v>10.054794520547945</v>
      </c>
      <c r="K234" s="3">
        <f>(LN(D234/G234)+H234^2*J234/2)/(H234*SQRT(J234))</f>
        <v>-0.15471475843774404</v>
      </c>
      <c r="L234" s="3">
        <f>K234-H234*SQRT(J234)</f>
        <v>-0.81803835028118377</v>
      </c>
      <c r="M234" s="3">
        <f>EXP(-E234*J234)*(D234*_xlfn.NORM.DIST(K234,0,1,TRUE)-G234*_xlfn.NORM.DIST(L234,0,1,TRUE))</f>
        <v>6538.4611347738219</v>
      </c>
      <c r="N234" s="3">
        <f>EXP(-E234*J234)*(G234*_xlfn.NORM.DIST(-L234,0,1,TRUE)-D234*_xlfn.NORM.DIST(-K234,0,1,TRUE))</f>
        <v>22791.954202821526</v>
      </c>
      <c r="O234" s="3" t="b">
        <f>(M234-N234)=EXP(-E234*J234)*(D234-G234)</f>
        <v>1</v>
      </c>
    </row>
    <row r="235" spans="1:15" x14ac:dyDescent="0.3">
      <c r="A235" s="1">
        <v>45987</v>
      </c>
      <c r="B235" t="s">
        <v>17</v>
      </c>
      <c r="C235">
        <v>49559.07</v>
      </c>
      <c r="D235">
        <v>50250.097390000003</v>
      </c>
      <c r="E235" s="2">
        <v>1.6219712321017564E-2</v>
      </c>
      <c r="F235" s="1">
        <v>49657</v>
      </c>
      <c r="G235">
        <v>74338.604999999996</v>
      </c>
      <c r="H235">
        <v>0.20821100000000001</v>
      </c>
      <c r="J235" s="3">
        <f>(F235-A235)/365</f>
        <v>10.054794520547945</v>
      </c>
      <c r="K235" s="3">
        <f>(LN(D235/G235)+H235^2*J235/2)/(H235*SQRT(J235))</f>
        <v>-0.26304936764917897</v>
      </c>
      <c r="L235" s="3">
        <f>K235-H235*SQRT(J235)</f>
        <v>-0.92327179034499196</v>
      </c>
      <c r="M235" s="3">
        <f>EXP(-E235*J235)*(D235*_xlfn.NORM.DIST(K235,0,1,TRUE)-G235*_xlfn.NORM.DIST(L235,0,1,TRUE))</f>
        <v>5678.7238170536129</v>
      </c>
      <c r="N235" s="3">
        <f>EXP(-E235*J235)*(G235*_xlfn.NORM.DIST(-L235,0,1,TRUE)-D235*_xlfn.NORM.DIST(-K235,0,1,TRUE))</f>
        <v>26142.350243986552</v>
      </c>
      <c r="O235" s="3" t="b">
        <f>(M235-N235)=EXP(-E235*J235)*(D235-G235)</f>
        <v>1</v>
      </c>
    </row>
    <row r="236" spans="1:15" x14ac:dyDescent="0.3">
      <c r="A236" s="1">
        <v>45987</v>
      </c>
      <c r="B236" t="s">
        <v>17</v>
      </c>
      <c r="C236">
        <v>49559.07</v>
      </c>
      <c r="D236">
        <v>50788.937680000003</v>
      </c>
      <c r="E236" s="2">
        <v>1.7022970917043394E-2</v>
      </c>
      <c r="F236" s="1">
        <v>50021</v>
      </c>
      <c r="G236">
        <v>24779.535</v>
      </c>
      <c r="H236">
        <v>0.27126600000000001</v>
      </c>
      <c r="J236" s="3">
        <f>(F236-A236)/365</f>
        <v>11.052054794520547</v>
      </c>
      <c r="K236" s="3">
        <f>(LN(D236/G236)+H236^2*J236/2)/(H236*SQRT(J236))</f>
        <v>1.2467036119066393</v>
      </c>
      <c r="L236" s="3">
        <f>K236-H236*SQRT(J236)</f>
        <v>0.34488980905850797</v>
      </c>
      <c r="M236" s="3">
        <f>EXP(-E236*J236)*(D236*_xlfn.NORM.DIST(K236,0,1,TRUE)-G236*_xlfn.NORM.DIST(L236,0,1,TRUE))</f>
        <v>24573.008277343481</v>
      </c>
      <c r="N236" s="3">
        <f>EXP(-E236*J236)*(G236*_xlfn.NORM.DIST(-L236,0,1,TRUE)-D236*_xlfn.NORM.DIST(-K236,0,1,TRUE))</f>
        <v>3024.2260271226573</v>
      </c>
      <c r="O236" s="3" t="b">
        <f>(M236-N236)=EXP(-E236*J236)*(D236-G236)</f>
        <v>1</v>
      </c>
    </row>
    <row r="237" spans="1:15" x14ac:dyDescent="0.3">
      <c r="A237" s="1">
        <v>45987</v>
      </c>
      <c r="B237" t="s">
        <v>17</v>
      </c>
      <c r="C237">
        <v>49559.07</v>
      </c>
      <c r="D237">
        <v>50788.937680000003</v>
      </c>
      <c r="E237" s="2">
        <v>1.7022970917043394E-2</v>
      </c>
      <c r="F237" s="1">
        <v>50021</v>
      </c>
      <c r="G237">
        <v>29735.442000000003</v>
      </c>
      <c r="H237">
        <v>0.25697900000000001</v>
      </c>
      <c r="J237" s="3">
        <f>(F237-A237)/365</f>
        <v>11.052054794520547</v>
      </c>
      <c r="K237" s="3">
        <f>(LN(D237/G237)+H237^2*J237/2)/(H237*SQRT(J237))</f>
        <v>1.053786392610635</v>
      </c>
      <c r="L237" s="3">
        <f>K237-H237*SQRT(J237)</f>
        <v>0.19946919383854433</v>
      </c>
      <c r="M237" s="3">
        <f>EXP(-E237*J237)*(D237*_xlfn.NORM.DIST(K237,0,1,TRUE)-G237*_xlfn.NORM.DIST(L237,0,1,TRUE))</f>
        <v>21670.131390527731</v>
      </c>
      <c r="N237" s="3">
        <f>EXP(-E237*J237)*(G237*_xlfn.NORM.DIST(-L237,0,1,TRUE)-D237*_xlfn.NORM.DIST(-K237,0,1,TRUE))</f>
        <v>4227.3165902039618</v>
      </c>
      <c r="O237" s="3" t="b">
        <f>(M237-N237)=EXP(-E237*J237)*(D237-G237)</f>
        <v>1</v>
      </c>
    </row>
    <row r="238" spans="1:15" x14ac:dyDescent="0.3">
      <c r="A238" s="1">
        <v>45987</v>
      </c>
      <c r="B238" t="s">
        <v>17</v>
      </c>
      <c r="C238">
        <v>49559.07</v>
      </c>
      <c r="D238">
        <v>50788.937680000003</v>
      </c>
      <c r="E238" s="2">
        <v>1.7022970917043394E-2</v>
      </c>
      <c r="F238" s="1">
        <v>50021</v>
      </c>
      <c r="G238">
        <v>34691.349000000002</v>
      </c>
      <c r="H238">
        <v>0.24540699999999999</v>
      </c>
      <c r="J238" s="3">
        <f>(F238-A238)/365</f>
        <v>11.052054794520547</v>
      </c>
      <c r="K238" s="3">
        <f>(LN(D238/G238)+H238^2*J238/2)/(H238*SQRT(J238))</f>
        <v>0.87515356899176433</v>
      </c>
      <c r="L238" s="3">
        <f>K238-H238*SQRT(J238)</f>
        <v>5.9307057023617382E-2</v>
      </c>
      <c r="M238" s="3">
        <f>EXP(-E238*J238)*(D238*_xlfn.NORM.DIST(K238,0,1,TRUE)-G238*_xlfn.NORM.DIST(L238,0,1,TRUE))</f>
        <v>19001.805173651413</v>
      </c>
      <c r="N238" s="3">
        <f>EXP(-E238*J238)*(G238*_xlfn.NORM.DIST(-L238,0,1,TRUE)-D238*_xlfn.NORM.DIST(-K238,0,1,TRUE))</f>
        <v>5664.9578232246913</v>
      </c>
      <c r="O238" s="3" t="b">
        <f>(M238-N238)=EXP(-E238*J238)*(D238-G238)</f>
        <v>1</v>
      </c>
    </row>
    <row r="239" spans="1:15" x14ac:dyDescent="0.3">
      <c r="A239" s="1">
        <v>45987</v>
      </c>
      <c r="B239" t="s">
        <v>17</v>
      </c>
      <c r="C239">
        <v>49559.07</v>
      </c>
      <c r="D239">
        <v>50788.937680000003</v>
      </c>
      <c r="E239" s="2">
        <v>1.7022970917043394E-2</v>
      </c>
      <c r="F239" s="1">
        <v>50021</v>
      </c>
      <c r="G239">
        <v>39647.256000000001</v>
      </c>
      <c r="H239">
        <v>0.235989</v>
      </c>
      <c r="J239" s="3">
        <f>(F239-A239)/365</f>
        <v>11.052054794520547</v>
      </c>
      <c r="K239" s="3">
        <f>(LN(D239/G239)+H239^2*J239/2)/(H239*SQRT(J239))</f>
        <v>0.70794106480966879</v>
      </c>
      <c r="L239" s="3">
        <f>K239-H239*SQRT(J239)</f>
        <v>-7.6595653836706634E-2</v>
      </c>
      <c r="M239" s="3">
        <f>EXP(-E239*J239)*(D239*_xlfn.NORM.DIST(K239,0,1,TRUE)-G239*_xlfn.NORM.DIST(L239,0,1,TRUE))</f>
        <v>16580.057859855624</v>
      </c>
      <c r="N239" s="3">
        <f>EXP(-E239*J239)*(G239*_xlfn.NORM.DIST(-L239,0,1,TRUE)-D239*_xlfn.NORM.DIST(-K239,0,1,TRUE))</f>
        <v>7349.1779593259589</v>
      </c>
      <c r="O239" s="3" t="b">
        <f>(M239-N239)=EXP(-E239*J239)*(D239-G239)</f>
        <v>0</v>
      </c>
    </row>
    <row r="240" spans="1:15" x14ac:dyDescent="0.3">
      <c r="A240" s="1">
        <v>45987</v>
      </c>
      <c r="B240" t="s">
        <v>17</v>
      </c>
      <c r="C240">
        <v>49559.07</v>
      </c>
      <c r="D240">
        <v>50788.937680000003</v>
      </c>
      <c r="E240" s="2">
        <v>1.7022970917043394E-2</v>
      </c>
      <c r="F240" s="1">
        <v>50021</v>
      </c>
      <c r="G240">
        <v>44603.163</v>
      </c>
      <c r="H240">
        <v>0.22835800000000001</v>
      </c>
      <c r="J240" s="3">
        <f>(F240-A240)/365</f>
        <v>11.052054794520547</v>
      </c>
      <c r="K240" s="3">
        <f>(LN(D240/G240)+H240^2*J240/2)/(H240*SQRT(J240))</f>
        <v>0.55065777923973691</v>
      </c>
      <c r="L240" s="3">
        <f>K240-H240*SQRT(J240)</f>
        <v>-0.20850996161534108</v>
      </c>
      <c r="M240" s="3">
        <f>EXP(-E240*J240)*(D240*_xlfn.NORM.DIST(K240,0,1,TRUE)-G240*_xlfn.NORM.DIST(L240,0,1,TRUE))</f>
        <v>14411.465752123062</v>
      </c>
      <c r="N240" s="3">
        <f>EXP(-E240*J240)*(G240*_xlfn.NORM.DIST(-L240,0,1,TRUE)-D240*_xlfn.NORM.DIST(-K240,0,1,TRUE))</f>
        <v>9286.5533014904431</v>
      </c>
      <c r="O240" s="3" t="b">
        <f>(M240-N240)=EXP(-E240*J240)*(D240-G240)</f>
        <v>1</v>
      </c>
    </row>
    <row r="241" spans="1:15" x14ac:dyDescent="0.3">
      <c r="A241" s="1">
        <v>45987</v>
      </c>
      <c r="B241" t="s">
        <v>17</v>
      </c>
      <c r="C241">
        <v>49559.07</v>
      </c>
      <c r="D241">
        <v>50788.937680000003</v>
      </c>
      <c r="E241" s="2">
        <v>1.7022970917043394E-2</v>
      </c>
      <c r="F241" s="1">
        <v>50021</v>
      </c>
      <c r="G241">
        <v>47081.116500000004</v>
      </c>
      <c r="H241">
        <v>0.22512799999999999</v>
      </c>
      <c r="J241" s="3">
        <f>(F241-A241)/365</f>
        <v>11.052054794520547</v>
      </c>
      <c r="K241" s="3">
        <f>(LN(D241/G241)+H241^2*J241/2)/(H241*SQRT(J241))</f>
        <v>0.47550235696426663</v>
      </c>
      <c r="L241" s="3">
        <f>K241-H241*SQRT(J241)</f>
        <v>-0.27292736813063695</v>
      </c>
      <c r="M241" s="3">
        <f>EXP(-E241*J241)*(D241*_xlfn.NORM.DIST(K241,0,1,TRUE)-G241*_xlfn.NORM.DIST(L241,0,1,TRUE))</f>
        <v>13422.319965171795</v>
      </c>
      <c r="N241" s="3">
        <f>EXP(-E241*J241)*(G241*_xlfn.NORM.DIST(-L241,0,1,TRUE)-D241*_xlfn.NORM.DIST(-K241,0,1,TRUE))</f>
        <v>10350.391239487701</v>
      </c>
      <c r="O241" s="3" t="b">
        <f>(M241-N241)=EXP(-E241*J241)*(D241-G241)</f>
        <v>1</v>
      </c>
    </row>
    <row r="242" spans="1:15" x14ac:dyDescent="0.3">
      <c r="A242" s="1">
        <v>45987</v>
      </c>
      <c r="B242" t="s">
        <v>17</v>
      </c>
      <c r="C242">
        <v>49559.07</v>
      </c>
      <c r="D242">
        <v>50788.937680000003</v>
      </c>
      <c r="E242" s="2">
        <v>1.7022970917043394E-2</v>
      </c>
      <c r="F242" s="1">
        <v>50021</v>
      </c>
      <c r="G242">
        <v>49559.07</v>
      </c>
      <c r="H242">
        <v>0.22225200000000001</v>
      </c>
      <c r="J242" s="3">
        <f>(F242-A242)/365</f>
        <v>11.052054794520547</v>
      </c>
      <c r="K242" s="3">
        <f>(LN(D242/G242)+H242^2*J242/2)/(H242*SQRT(J242))</f>
        <v>0.40261106090167215</v>
      </c>
      <c r="L242" s="3">
        <f>K242-H242*SQRT(J242)</f>
        <v>-0.33625750836466745</v>
      </c>
      <c r="M242" s="3">
        <f>EXP(-E242*J242)*(D242*_xlfn.NORM.DIST(K242,0,1,TRUE)-G242*_xlfn.NORM.DIST(L242,0,1,TRUE))</f>
        <v>12495.830147055887</v>
      </c>
      <c r="N242" s="3">
        <f>EXP(-E242*J242)*(G242*_xlfn.NORM.DIST(-L242,0,1,TRUE)-D242*_xlfn.NORM.DIST(-K242,0,1,TRUE))</f>
        <v>11476.885146320315</v>
      </c>
      <c r="O242" s="3" t="b">
        <f>(M242-N242)=EXP(-E242*J242)*(D242-G242)</f>
        <v>1</v>
      </c>
    </row>
    <row r="243" spans="1:15" x14ac:dyDescent="0.3">
      <c r="A243" s="1">
        <v>45987</v>
      </c>
      <c r="B243" t="s">
        <v>17</v>
      </c>
      <c r="C243">
        <v>49559.07</v>
      </c>
      <c r="D243">
        <v>50788.937680000003</v>
      </c>
      <c r="E243" s="2">
        <v>1.7022970917043394E-2</v>
      </c>
      <c r="F243" s="1">
        <v>50021</v>
      </c>
      <c r="G243">
        <v>52037.023499999996</v>
      </c>
      <c r="H243">
        <v>0.21970400000000001</v>
      </c>
      <c r="J243" s="3">
        <f>(F243-A243)/365</f>
        <v>11.052054794520547</v>
      </c>
      <c r="K243" s="3">
        <f>(LN(D243/G243)+H243^2*J243/2)/(H243*SQRT(J243))</f>
        <v>0.33196102321323701</v>
      </c>
      <c r="L243" s="3">
        <f>K243-H243*SQRT(J243)</f>
        <v>-0.39843681411597437</v>
      </c>
      <c r="M243" s="3">
        <f>EXP(-E243*J243)*(D243*_xlfn.NORM.DIST(K243,0,1,TRUE)-G243*_xlfn.NORM.DIST(L243,0,1,TRUE))</f>
        <v>11630.729675960074</v>
      </c>
      <c r="N243" s="3">
        <f>EXP(-E243*J243)*(G243*_xlfn.NORM.DIST(-L243,0,1,TRUE)-D243*_xlfn.NORM.DIST(-K243,0,1,TRUE))</f>
        <v>12664.76840017303</v>
      </c>
      <c r="O243" s="3" t="b">
        <f>(M243-N243)=EXP(-E243*J243)*(D243-G243)</f>
        <v>0</v>
      </c>
    </row>
    <row r="244" spans="1:15" x14ac:dyDescent="0.3">
      <c r="A244" s="1">
        <v>45987</v>
      </c>
      <c r="B244" t="s">
        <v>17</v>
      </c>
      <c r="C244">
        <v>49559.07</v>
      </c>
      <c r="D244">
        <v>50788.937680000003</v>
      </c>
      <c r="E244" s="2">
        <v>1.7022970917043394E-2</v>
      </c>
      <c r="F244" s="1">
        <v>50021</v>
      </c>
      <c r="G244">
        <v>54514.976999999999</v>
      </c>
      <c r="H244">
        <v>0.21746299999999999</v>
      </c>
      <c r="J244" s="3">
        <f>(F244-A244)/365</f>
        <v>11.052054794520547</v>
      </c>
      <c r="K244" s="3">
        <f>(LN(D244/G244)+H244^2*J244/2)/(H244*SQRT(J244))</f>
        <v>0.26354574891852312</v>
      </c>
      <c r="L244" s="3">
        <f>K244-H244*SQRT(J244)</f>
        <v>-0.45940196664023902</v>
      </c>
      <c r="M244" s="3">
        <f>EXP(-E244*J244)*(D244*_xlfn.NORM.DIST(K244,0,1,TRUE)-G244*_xlfn.NORM.DIST(L244,0,1,TRUE))</f>
        <v>10825.479359803718</v>
      </c>
      <c r="N244" s="3">
        <f>EXP(-E244*J244)*(G244*_xlfn.NORM.DIST(-L244,0,1,TRUE)-D244*_xlfn.NORM.DIST(-K244,0,1,TRUE))</f>
        <v>13912.501808965199</v>
      </c>
      <c r="O244" s="3" t="b">
        <f>(M244-N244)=EXP(-E244*J244)*(D244-G244)</f>
        <v>1</v>
      </c>
    </row>
    <row r="245" spans="1:15" x14ac:dyDescent="0.3">
      <c r="A245" s="1">
        <v>45987</v>
      </c>
      <c r="B245" t="s">
        <v>17</v>
      </c>
      <c r="C245">
        <v>49559.07</v>
      </c>
      <c r="D245">
        <v>50788.937680000003</v>
      </c>
      <c r="E245" s="2">
        <v>1.7022970917043394E-2</v>
      </c>
      <c r="F245" s="1">
        <v>50021</v>
      </c>
      <c r="G245">
        <v>59470.884000000005</v>
      </c>
      <c r="H245">
        <v>0.213814</v>
      </c>
      <c r="J245" s="3">
        <f>(F245-A245)/365</f>
        <v>11.052054794520547</v>
      </c>
      <c r="K245" s="3">
        <f>(LN(D245/G245)+H245^2*J245/2)/(H245*SQRT(J245))</f>
        <v>0.13339858173840244</v>
      </c>
      <c r="L245" s="3">
        <f>K245-H245*SQRT(J245)</f>
        <v>-0.57741816802813795</v>
      </c>
      <c r="M245" s="3">
        <f>EXP(-E245*J245)*(D245*_xlfn.NORM.DIST(K245,0,1,TRUE)-G245*_xlfn.NORM.DIST(L245,0,1,TRUE))</f>
        <v>9385.8959968809522</v>
      </c>
      <c r="N245" s="3">
        <f>EXP(-E245*J245)*(G245*_xlfn.NORM.DIST(-L245,0,1,TRUE)-D245*_xlfn.NORM.DIST(-K245,0,1,TRUE))</f>
        <v>16578.885895939489</v>
      </c>
      <c r="O245" s="3" t="b">
        <f>(M245-N245)=EXP(-E245*J245)*(D245-G245)</f>
        <v>1</v>
      </c>
    </row>
    <row r="246" spans="1:15" x14ac:dyDescent="0.3">
      <c r="A246" s="1">
        <v>45987</v>
      </c>
      <c r="B246" t="s">
        <v>17</v>
      </c>
      <c r="C246">
        <v>49559.07</v>
      </c>
      <c r="D246">
        <v>50788.937680000003</v>
      </c>
      <c r="E246" s="2">
        <v>1.7022970917043394E-2</v>
      </c>
      <c r="F246" s="1">
        <v>50021</v>
      </c>
      <c r="G246">
        <v>64426.790999999997</v>
      </c>
      <c r="H246">
        <v>0.211146</v>
      </c>
      <c r="J246" s="3">
        <f>(F246-A246)/365</f>
        <v>11.052054794520547</v>
      </c>
      <c r="K246" s="3">
        <f>(LN(D246/G246)+H246^2*J246/2)/(H246*SQRT(J246))</f>
        <v>1.2128928388316081E-2</v>
      </c>
      <c r="L246" s="3">
        <f>K246-H246*SQRT(J246)</f>
        <v>-0.6898181538710586</v>
      </c>
      <c r="M246" s="3">
        <f>EXP(-E246*J246)*(D246*_xlfn.NORM.DIST(K246,0,1,TRUE)-G246*_xlfn.NORM.DIST(L246,0,1,TRUE))</f>
        <v>8157.1711788903158</v>
      </c>
      <c r="N246" s="3">
        <f>EXP(-E246*J246)*(G246*_xlfn.NORM.DIST(-L246,0,1,TRUE)-D246*_xlfn.NORM.DIST(-K246,0,1,TRUE))</f>
        <v>19456.128527845896</v>
      </c>
      <c r="O246" s="3" t="b">
        <f>(M246-N246)=EXP(-E246*J246)*(D246-G246)</f>
        <v>1</v>
      </c>
    </row>
    <row r="247" spans="1:15" x14ac:dyDescent="0.3">
      <c r="A247" s="1">
        <v>45987</v>
      </c>
      <c r="B247" t="s">
        <v>17</v>
      </c>
      <c r="C247">
        <v>49559.07</v>
      </c>
      <c r="D247">
        <v>50788.937680000003</v>
      </c>
      <c r="E247" s="2">
        <v>1.7022970917043394E-2</v>
      </c>
      <c r="F247" s="1">
        <v>50021</v>
      </c>
      <c r="G247">
        <v>69382.698000000004</v>
      </c>
      <c r="H247">
        <v>0.209309</v>
      </c>
      <c r="J247" s="3">
        <f>(F247-A247)/365</f>
        <v>11.052054794520547</v>
      </c>
      <c r="K247" s="3">
        <f>(LN(D247/G247)+H247^2*J247/2)/(H247*SQRT(J247))</f>
        <v>-0.10039990789679336</v>
      </c>
      <c r="L247" s="3">
        <f>K247-H247*SQRT(J247)</f>
        <v>-0.7962399514715115</v>
      </c>
      <c r="M247" s="3">
        <f>EXP(-E247*J247)*(D247*_xlfn.NORM.DIST(K247,0,1,TRUE)-G247*_xlfn.NORM.DIST(L247,0,1,TRUE))</f>
        <v>7115.8222190895685</v>
      </c>
      <c r="N247" s="3">
        <f>EXP(-E247*J247)*(G247*_xlfn.NORM.DIST(-L247,0,1,TRUE)-D247*_xlfn.NORM.DIST(-K247,0,1,TRUE))</f>
        <v>22520.747017942209</v>
      </c>
      <c r="O247" s="3" t="b">
        <f>(M247-N247)=EXP(-E247*J247)*(D247-G247)</f>
        <v>1</v>
      </c>
    </row>
    <row r="248" spans="1:15" x14ac:dyDescent="0.3">
      <c r="A248" s="1">
        <v>45987</v>
      </c>
      <c r="B248" t="s">
        <v>17</v>
      </c>
      <c r="C248">
        <v>49559.07</v>
      </c>
      <c r="D248">
        <v>50788.937680000003</v>
      </c>
      <c r="E248" s="2">
        <v>1.7022970917043394E-2</v>
      </c>
      <c r="F248" s="1">
        <v>50021</v>
      </c>
      <c r="G248">
        <v>74338.604999999996</v>
      </c>
      <c r="H248">
        <v>0.20816799999999999</v>
      </c>
      <c r="J248" s="3">
        <f>(F248-A248)/365</f>
        <v>11.052054794520547</v>
      </c>
      <c r="K248" s="3">
        <f>(LN(D248/G248)+H248^2*J248/2)/(H248*SQRT(J248))</f>
        <v>-0.20444775733573484</v>
      </c>
      <c r="L248" s="3">
        <f>K248-H248*SQRT(J248)</f>
        <v>-0.89649458853201369</v>
      </c>
      <c r="M248" s="3">
        <f>EXP(-E248*J248)*(D248*_xlfn.NORM.DIST(K248,0,1,TRUE)-G248*_xlfn.NORM.DIST(L248,0,1,TRUE))</f>
        <v>6237.3068467058483</v>
      </c>
      <c r="N248" s="3">
        <f>EXP(-E248*J248)*(G248*_xlfn.NORM.DIST(-L248,0,1,TRUE)-D248*_xlfn.NORM.DIST(-K248,0,1,TRUE))</f>
        <v>25748.199095455529</v>
      </c>
      <c r="O248" s="3" t="b">
        <f>(M248-N248)=EXP(-E248*J248)*(D248-G248)</f>
        <v>1</v>
      </c>
    </row>
    <row r="249" spans="1:15" x14ac:dyDescent="0.3">
      <c r="A249" s="1">
        <v>45987</v>
      </c>
      <c r="B249" t="s">
        <v>17</v>
      </c>
      <c r="C249">
        <v>49559.07</v>
      </c>
      <c r="D249">
        <v>51448.491029999997</v>
      </c>
      <c r="E249" s="2">
        <v>1.7851057413833072E-2</v>
      </c>
      <c r="F249" s="1">
        <v>50385</v>
      </c>
      <c r="G249">
        <v>24779.535</v>
      </c>
      <c r="H249">
        <v>0.26955800000000002</v>
      </c>
      <c r="J249" s="3">
        <f>(F249-A249)/365</f>
        <v>12.049315068493151</v>
      </c>
      <c r="K249" s="3">
        <f>(LN(D249/G249)+H249^2*J249/2)/(H249*SQRT(J249))</f>
        <v>1.2486186176550644</v>
      </c>
      <c r="L249" s="3">
        <f>K249-H249*SQRT(J249)</f>
        <v>0.31292556329642929</v>
      </c>
      <c r="M249" s="3">
        <f>EXP(-E249*J249)*(D249*_xlfn.NORM.DIST(K249,0,1,TRUE)-G249*_xlfn.NORM.DIST(L249,0,1,TRUE))</f>
        <v>24650.860138754899</v>
      </c>
      <c r="N249" s="3">
        <f>EXP(-E249*J249)*(G249*_xlfn.NORM.DIST(-L249,0,1,TRUE)-D249*_xlfn.NORM.DIST(-K249,0,1,TRUE))</f>
        <v>3143.2425602136218</v>
      </c>
      <c r="O249" s="3" t="b">
        <f>(M249-N249)=EXP(-E249*J249)*(D249-G249)</f>
        <v>1</v>
      </c>
    </row>
    <row r="250" spans="1:15" x14ac:dyDescent="0.3">
      <c r="A250" s="1">
        <v>45987</v>
      </c>
      <c r="B250" t="s">
        <v>17</v>
      </c>
      <c r="C250">
        <v>49559.07</v>
      </c>
      <c r="D250">
        <v>51448.491029999997</v>
      </c>
      <c r="E250" s="2">
        <v>1.7851057413833072E-2</v>
      </c>
      <c r="F250" s="1">
        <v>50385</v>
      </c>
      <c r="G250">
        <v>29735.442000000003</v>
      </c>
      <c r="H250">
        <v>0.25590099999999999</v>
      </c>
      <c r="J250" s="3">
        <f>(F250-A250)/365</f>
        <v>12.049315068493151</v>
      </c>
      <c r="K250" s="3">
        <f>(LN(D250/G250)+H250^2*J250/2)/(H250*SQRT(J250))</f>
        <v>1.0613331199260914</v>
      </c>
      <c r="L250" s="3">
        <f>K250-H250*SQRT(J250)</f>
        <v>0.17304641241442753</v>
      </c>
      <c r="M250" s="3">
        <f>EXP(-E250*J250)*(D250*_xlfn.NORM.DIST(K250,0,1,TRUE)-G250*_xlfn.NORM.DIST(L250,0,1,TRUE))</f>
        <v>21867.926715453479</v>
      </c>
      <c r="N250" s="3">
        <f>EXP(-E250*J250)*(G250*_xlfn.NORM.DIST(-L250,0,1,TRUE)-D250*_xlfn.NORM.DIST(-K250,0,1,TRUE))</f>
        <v>4357.0817286444289</v>
      </c>
      <c r="O250" s="3" t="b">
        <f>(M250-N250)=EXP(-E250*J250)*(D250-G250)</f>
        <v>1</v>
      </c>
    </row>
    <row r="251" spans="1:15" x14ac:dyDescent="0.3">
      <c r="A251" s="1">
        <v>45987</v>
      </c>
      <c r="B251" t="s">
        <v>17</v>
      </c>
      <c r="C251">
        <v>49559.07</v>
      </c>
      <c r="D251">
        <v>51448.491029999997</v>
      </c>
      <c r="E251" s="2">
        <v>1.7851057413833072E-2</v>
      </c>
      <c r="F251" s="1">
        <v>50385</v>
      </c>
      <c r="G251">
        <v>34691.349000000002</v>
      </c>
      <c r="H251">
        <v>0.24483099999999999</v>
      </c>
      <c r="J251" s="3">
        <f>(F251-A251)/365</f>
        <v>12.049315068493151</v>
      </c>
      <c r="K251" s="3">
        <f>(LN(D251/G251)+H251^2*J251/2)/(H251*SQRT(J251))</f>
        <v>0.88864257673767244</v>
      </c>
      <c r="L251" s="3">
        <f>K251-H251*SQRT(J251)</f>
        <v>3.8782189764631436E-2</v>
      </c>
      <c r="M251" s="3">
        <f>EXP(-E251*J251)*(D251*_xlfn.NORM.DIST(K251,0,1,TRUE)-G251*_xlfn.NORM.DIST(L251,0,1,TRUE))</f>
        <v>19307.06608688143</v>
      </c>
      <c r="N251" s="3">
        <f>EXP(-E251*J251)*(G251*_xlfn.NORM.DIST(-L251,0,1,TRUE)-D251*_xlfn.NORM.DIST(-K251,0,1,TRUE))</f>
        <v>5792.9936918045987</v>
      </c>
      <c r="O251" s="3" t="b">
        <f>(M251-N251)=EXP(-E251*J251)*(D251-G251)</f>
        <v>1</v>
      </c>
    </row>
    <row r="252" spans="1:15" x14ac:dyDescent="0.3">
      <c r="A252" s="1">
        <v>45987</v>
      </c>
      <c r="B252" t="s">
        <v>17</v>
      </c>
      <c r="C252">
        <v>49559.07</v>
      </c>
      <c r="D252">
        <v>51448.491029999997</v>
      </c>
      <c r="E252" s="2">
        <v>1.7851057413833072E-2</v>
      </c>
      <c r="F252" s="1">
        <v>50385</v>
      </c>
      <c r="G252">
        <v>39647.256000000001</v>
      </c>
      <c r="H252">
        <v>0.23580000000000001</v>
      </c>
      <c r="J252" s="3">
        <f>(F252-A252)/365</f>
        <v>12.049315068493151</v>
      </c>
      <c r="K252" s="3">
        <f>(LN(D252/G252)+H252^2*J252/2)/(H252*SQRT(J252))</f>
        <v>0.7275890004722595</v>
      </c>
      <c r="L252" s="3">
        <f>K252-H252*SQRT(J252)</f>
        <v>-9.0922867911413685E-2</v>
      </c>
      <c r="M252" s="3">
        <f>EXP(-E252*J252)*(D252*_xlfn.NORM.DIST(K252,0,1,TRUE)-G252*_xlfn.NORM.DIST(L252,0,1,TRUE))</f>
        <v>16977.128335660749</v>
      </c>
      <c r="N252" s="3">
        <f>EXP(-E252*J252)*(G252*_xlfn.NORM.DIST(-L252,0,1,TRUE)-D252*_xlfn.NORM.DIST(-K252,0,1,TRUE))</f>
        <v>7459.828532316139</v>
      </c>
      <c r="O252" s="3" t="b">
        <f>(M252-N252)=EXP(-E252*J252)*(D252-G252)</f>
        <v>1</v>
      </c>
    </row>
    <row r="253" spans="1:15" x14ac:dyDescent="0.3">
      <c r="A253" s="1">
        <v>45987</v>
      </c>
      <c r="B253" t="s">
        <v>17</v>
      </c>
      <c r="C253">
        <v>49559.07</v>
      </c>
      <c r="D253">
        <v>51448.491029999997</v>
      </c>
      <c r="E253" s="2">
        <v>1.7851057413833072E-2</v>
      </c>
      <c r="F253" s="1">
        <v>50385</v>
      </c>
      <c r="G253">
        <v>44603.163</v>
      </c>
      <c r="H253">
        <v>0.22844700000000001</v>
      </c>
      <c r="J253" s="3">
        <f>(F253-A253)/365</f>
        <v>12.049315068493151</v>
      </c>
      <c r="K253" s="3">
        <f>(LN(D253/G253)+H253^2*J253/2)/(H253*SQRT(J253))</f>
        <v>0.57654258426154392</v>
      </c>
      <c r="L253" s="3">
        <f>K253-H253*SQRT(J253)</f>
        <v>-0.21644545982940167</v>
      </c>
      <c r="M253" s="3">
        <f>EXP(-E253*J253)*(D253*_xlfn.NORM.DIST(K253,0,1,TRUE)-G253*_xlfn.NORM.DIST(L253,0,1,TRUE))</f>
        <v>14882.232825589685</v>
      </c>
      <c r="N253" s="3">
        <f>EXP(-E253*J253)*(G253*_xlfn.NORM.DIST(-L253,0,1,TRUE)-D253*_xlfn.NORM.DIST(-K253,0,1,TRUE))</f>
        <v>9361.705613977294</v>
      </c>
      <c r="O253" s="3" t="b">
        <f>(M253-N253)=EXP(-E253*J253)*(D253-G253)</f>
        <v>1</v>
      </c>
    </row>
    <row r="254" spans="1:15" x14ac:dyDescent="0.3">
      <c r="A254" s="1">
        <v>45987</v>
      </c>
      <c r="B254" t="s">
        <v>17</v>
      </c>
      <c r="C254">
        <v>49559.07</v>
      </c>
      <c r="D254">
        <v>51448.491029999997</v>
      </c>
      <c r="E254" s="2">
        <v>1.7851057413833072E-2</v>
      </c>
      <c r="F254" s="1">
        <v>50385</v>
      </c>
      <c r="G254">
        <v>47081.116500000004</v>
      </c>
      <c r="H254">
        <v>0.22531799999999999</v>
      </c>
      <c r="J254" s="3">
        <f>(F254-A254)/365</f>
        <v>12.049315068493151</v>
      </c>
      <c r="K254" s="3">
        <f>(LN(D254/G254)+H254^2*J254/2)/(H254*SQRT(J254))</f>
        <v>0.50448373816096903</v>
      </c>
      <c r="L254" s="3">
        <f>K254-H254*SQRT(J254)</f>
        <v>-0.27764288253653924</v>
      </c>
      <c r="M254" s="3">
        <f>EXP(-E254*J254)*(D254*_xlfn.NORM.DIST(K254,0,1,TRUE)-G254*_xlfn.NORM.DIST(L254,0,1,TRUE))</f>
        <v>13922.758400558123</v>
      </c>
      <c r="N254" s="3">
        <f>EXP(-E254*J254)*(G254*_xlfn.NORM.DIST(-L254,0,1,TRUE)-D254*_xlfn.NORM.DIST(-K254,0,1,TRUE))</f>
        <v>10400.61748481185</v>
      </c>
      <c r="O254" s="3" t="b">
        <f>(M254-N254)=EXP(-E254*J254)*(D254-G254)</f>
        <v>1</v>
      </c>
    </row>
    <row r="255" spans="1:15" x14ac:dyDescent="0.3">
      <c r="A255" s="1">
        <v>45987</v>
      </c>
      <c r="B255" t="s">
        <v>17</v>
      </c>
      <c r="C255">
        <v>49559.07</v>
      </c>
      <c r="D255">
        <v>51448.491029999997</v>
      </c>
      <c r="E255" s="2">
        <v>1.7851057413833072E-2</v>
      </c>
      <c r="F255" s="1">
        <v>50385</v>
      </c>
      <c r="G255">
        <v>49559.07</v>
      </c>
      <c r="H255">
        <v>0.22251699999999999</v>
      </c>
      <c r="J255" s="3">
        <f>(F255-A255)/365</f>
        <v>12.049315068493151</v>
      </c>
      <c r="K255" s="3">
        <f>(LN(D255/G255)+H255^2*J255/2)/(H255*SQRT(J255))</f>
        <v>0.43464265899034876</v>
      </c>
      <c r="L255" s="3">
        <f>K255-H255*SQRT(J255)</f>
        <v>-0.33776109595931109</v>
      </c>
      <c r="M255" s="3">
        <f>EXP(-E255*J255)*(D255*_xlfn.NORM.DIST(K255,0,1,TRUE)-G255*_xlfn.NORM.DIST(L255,0,1,TRUE))</f>
        <v>13021.010257804153</v>
      </c>
      <c r="N255" s="3">
        <f>EXP(-E255*J255)*(G255*_xlfn.NORM.DIST(-L255,0,1,TRUE)-D255*_xlfn.NORM.DIST(-K255,0,1,TRUE))</f>
        <v>11497.255637923987</v>
      </c>
      <c r="O255" s="3" t="b">
        <f>(M255-N255)=EXP(-E255*J255)*(D255-G255)</f>
        <v>1</v>
      </c>
    </row>
    <row r="256" spans="1:15" x14ac:dyDescent="0.3">
      <c r="A256" s="1">
        <v>45987</v>
      </c>
      <c r="B256" t="s">
        <v>17</v>
      </c>
      <c r="C256">
        <v>49559.07</v>
      </c>
      <c r="D256">
        <v>51448.491029999997</v>
      </c>
      <c r="E256" s="2">
        <v>1.7851057413833072E-2</v>
      </c>
      <c r="F256" s="1">
        <v>50385</v>
      </c>
      <c r="G256">
        <v>52037.023499999996</v>
      </c>
      <c r="H256">
        <v>0.220022</v>
      </c>
      <c r="J256" s="3">
        <f>(F256-A256)/365</f>
        <v>12.049315068493151</v>
      </c>
      <c r="K256" s="3">
        <f>(LN(D256/G256)+H256^2*J256/2)/(H256*SQRT(J256))</f>
        <v>0.36697867502726755</v>
      </c>
      <c r="L256" s="3">
        <f>K256-H256*SQRT(J256)</f>
        <v>-0.3967644051487822</v>
      </c>
      <c r="M256" s="3">
        <f>EXP(-E256*J256)*(D256*_xlfn.NORM.DIST(K256,0,1,TRUE)-G256*_xlfn.NORM.DIST(L256,0,1,TRUE))</f>
        <v>12175.947911525056</v>
      </c>
      <c r="N256" s="3">
        <f>EXP(-E256*J256)*(G256*_xlfn.NORM.DIST(-L256,0,1,TRUE)-D256*_xlfn.NORM.DIST(-K256,0,1,TRUE))</f>
        <v>12650.579587511</v>
      </c>
      <c r="O256" s="3" t="b">
        <f>(M256-N256)=EXP(-E256*J256)*(D256-G256)</f>
        <v>0</v>
      </c>
    </row>
    <row r="257" spans="1:15" x14ac:dyDescent="0.3">
      <c r="A257" s="1">
        <v>45987</v>
      </c>
      <c r="B257" t="s">
        <v>17</v>
      </c>
      <c r="C257">
        <v>49559.07</v>
      </c>
      <c r="D257">
        <v>51448.491029999997</v>
      </c>
      <c r="E257" s="2">
        <v>1.7851057413833072E-2</v>
      </c>
      <c r="F257" s="1">
        <v>50385</v>
      </c>
      <c r="G257">
        <v>54514.976999999999</v>
      </c>
      <c r="H257">
        <v>0.21781</v>
      </c>
      <c r="J257" s="3">
        <f>(F257-A257)/365</f>
        <v>12.049315068493151</v>
      </c>
      <c r="K257" s="3">
        <f>(LN(D257/G257)+H257^2*J257/2)/(H257*SQRT(J257))</f>
        <v>0.30145912593888524</v>
      </c>
      <c r="L257" s="3">
        <f>K257-H257*SQRT(J257)</f>
        <v>-0.45460563255410813</v>
      </c>
      <c r="M257" s="3">
        <f>EXP(-E257*J257)*(D257*_xlfn.NORM.DIST(K257,0,1,TRUE)-G257*_xlfn.NORM.DIST(L257,0,1,TRUE))</f>
        <v>11386.026007840948</v>
      </c>
      <c r="N257" s="3">
        <f>EXP(-E257*J257)*(G257*_xlfn.NORM.DIST(-L257,0,1,TRUE)-D257*_xlfn.NORM.DIST(-K257,0,1,TRUE))</f>
        <v>13859.043979693004</v>
      </c>
      <c r="O257" s="3" t="b">
        <f>(M257-N257)=EXP(-E257*J257)*(D257-G257)</f>
        <v>1</v>
      </c>
    </row>
    <row r="258" spans="1:15" x14ac:dyDescent="0.3">
      <c r="A258" s="1">
        <v>45987</v>
      </c>
      <c r="B258" t="s">
        <v>17</v>
      </c>
      <c r="C258">
        <v>49559.07</v>
      </c>
      <c r="D258">
        <v>51448.491029999997</v>
      </c>
      <c r="E258" s="2">
        <v>1.7851057413833072E-2</v>
      </c>
      <c r="F258" s="1">
        <v>50385</v>
      </c>
      <c r="G258">
        <v>59470.884000000005</v>
      </c>
      <c r="H258">
        <v>0.21415899999999999</v>
      </c>
      <c r="J258" s="3">
        <f>(F258-A258)/365</f>
        <v>12.049315068493151</v>
      </c>
      <c r="K258" s="3">
        <f>(LN(D258/G258)+H258^2*J258/2)/(H258*SQRT(J258))</f>
        <v>0.17677047401232571</v>
      </c>
      <c r="L258" s="3">
        <f>K258-H258*SQRT(J258)</f>
        <v>-0.56662088824882373</v>
      </c>
      <c r="M258" s="3">
        <f>EXP(-E258*J258)*(D258*_xlfn.NORM.DIST(K258,0,1,TRUE)-G258*_xlfn.NORM.DIST(L258,0,1,TRUE))</f>
        <v>9964.3362549796948</v>
      </c>
      <c r="N258" s="3">
        <f>EXP(-E258*J258)*(G258*_xlfn.NORM.DIST(-L258,0,1,TRUE)-D258*_xlfn.NORM.DIST(-K258,0,1,TRUE))</f>
        <v>16434.126818563982</v>
      </c>
      <c r="O258" s="3" t="b">
        <f>(M258-N258)=EXP(-E258*J258)*(D258-G258)</f>
        <v>0</v>
      </c>
    </row>
    <row r="259" spans="1:15" x14ac:dyDescent="0.3">
      <c r="A259" s="1">
        <v>45987</v>
      </c>
      <c r="B259" t="s">
        <v>17</v>
      </c>
      <c r="C259">
        <v>49559.07</v>
      </c>
      <c r="D259">
        <v>51448.491029999997</v>
      </c>
      <c r="E259" s="2">
        <v>1.7851057413833072E-2</v>
      </c>
      <c r="F259" s="1">
        <v>50385</v>
      </c>
      <c r="G259">
        <v>64426.790999999997</v>
      </c>
      <c r="H259">
        <v>0.21141599999999999</v>
      </c>
      <c r="J259" s="3">
        <f>(F259-A259)/365</f>
        <v>12.049315068493151</v>
      </c>
      <c r="K259" s="3">
        <f>(LN(D259/G259)+H259^2*J259/2)/(H259*SQRT(J259))</f>
        <v>6.0411311123327503E-2</v>
      </c>
      <c r="L259" s="3">
        <f>K259-H259*SQRT(J259)</f>
        <v>-0.67345851570535198</v>
      </c>
      <c r="M259" s="3">
        <f>EXP(-E259*J259)*(D259*_xlfn.NORM.DIST(K259,0,1,TRUE)-G259*_xlfn.NORM.DIST(L259,0,1,TRUE))</f>
        <v>8738.5594223724092</v>
      </c>
      <c r="N259" s="3">
        <f>EXP(-E259*J259)*(G259*_xlfn.NORM.DIST(-L259,0,1,TRUE)-D259*_xlfn.NORM.DIST(-K259,0,1,TRUE))</f>
        <v>19205.122577688911</v>
      </c>
      <c r="O259" s="3" t="b">
        <f>(M259-N259)=EXP(-E259*J259)*(D259-G259)</f>
        <v>1</v>
      </c>
    </row>
    <row r="260" spans="1:15" x14ac:dyDescent="0.3">
      <c r="A260" s="1">
        <v>45987</v>
      </c>
      <c r="B260" t="s">
        <v>17</v>
      </c>
      <c r="C260">
        <v>49559.07</v>
      </c>
      <c r="D260">
        <v>51448.491029999997</v>
      </c>
      <c r="E260" s="2">
        <v>1.7851057413833072E-2</v>
      </c>
      <c r="F260" s="1">
        <v>50385</v>
      </c>
      <c r="G260">
        <v>69382.698000000004</v>
      </c>
      <c r="H260">
        <v>0.20944699999999999</v>
      </c>
      <c r="J260" s="3">
        <f>(F260-A260)/365</f>
        <v>12.049315068493151</v>
      </c>
      <c r="K260" s="3">
        <f>(LN(D260/G260)+H260^2*J260/2)/(H260*SQRT(J260))</f>
        <v>-4.78194886410808E-2</v>
      </c>
      <c r="L260" s="3">
        <f>K260-H260*SQRT(J260)</f>
        <v>-0.7748544983838932</v>
      </c>
      <c r="M260" s="3">
        <f>EXP(-E260*J260)*(D260*_xlfn.NORM.DIST(K260,0,1,TRUE)-G260*_xlfn.NORM.DIST(L260,0,1,TRUE))</f>
        <v>7688.4867866041322</v>
      </c>
      <c r="N260" s="3">
        <f>EXP(-E260*J260)*(G260*_xlfn.NORM.DIST(-L260,0,1,TRUE)-D260*_xlfn.NORM.DIST(-K260,0,1,TRUE))</f>
        <v>22151.822533652856</v>
      </c>
      <c r="O260" s="3" t="b">
        <f>(M260-N260)=EXP(-E260*J260)*(D260-G260)</f>
        <v>1</v>
      </c>
    </row>
    <row r="261" spans="1:15" x14ac:dyDescent="0.3">
      <c r="A261" s="1">
        <v>45987</v>
      </c>
      <c r="B261" t="s">
        <v>17</v>
      </c>
      <c r="C261">
        <v>49559.07</v>
      </c>
      <c r="D261">
        <v>51448.491029999997</v>
      </c>
      <c r="E261" s="2">
        <v>1.7851057413833072E-2</v>
      </c>
      <c r="F261" s="1">
        <v>50385</v>
      </c>
      <c r="G261">
        <v>74338.604999999996</v>
      </c>
      <c r="H261">
        <v>0.20813200000000001</v>
      </c>
      <c r="J261" s="3">
        <f>(F261-A261)/365</f>
        <v>12.049315068493151</v>
      </c>
      <c r="K261" s="3">
        <f>(LN(D261/G261)+H261^2*J261/2)/(H261*SQRT(J261))</f>
        <v>-0.14819646196215949</v>
      </c>
      <c r="L261" s="3">
        <f>K261-H261*SQRT(J261)</f>
        <v>-0.87066682748561441</v>
      </c>
      <c r="M261" s="3">
        <f>EXP(-E261*J261)*(D261*_xlfn.NORM.DIST(K261,0,1,TRUE)-G261*_xlfn.NORM.DIST(L261,0,1,TRUE))</f>
        <v>6792.8478940804425</v>
      </c>
      <c r="N261" s="3">
        <f>EXP(-E261*J261)*(G261*_xlfn.NORM.DIST(-L261,0,1,TRUE)-D261*_xlfn.NORM.DIST(-K261,0,1,TRUE))</f>
        <v>25252.956232861383</v>
      </c>
      <c r="O261" s="3" t="b">
        <f>(M261-N261)=EXP(-E261*J261)*(D261-G261)</f>
        <v>1</v>
      </c>
    </row>
    <row r="262" spans="1:15" x14ac:dyDescent="0.3">
      <c r="A262" s="1">
        <v>45987</v>
      </c>
      <c r="B262" t="s">
        <v>17</v>
      </c>
      <c r="C262">
        <v>49559.07</v>
      </c>
      <c r="D262">
        <v>52243.476580000002</v>
      </c>
      <c r="E262" s="2">
        <v>1.870324928189749E-2</v>
      </c>
      <c r="F262" s="1">
        <v>50749</v>
      </c>
      <c r="G262">
        <v>24779.535</v>
      </c>
      <c r="H262">
        <v>0.26906400000000003</v>
      </c>
      <c r="J262" s="3">
        <f>(F262-A262)/365</f>
        <v>13.046575342465754</v>
      </c>
      <c r="K262" s="3">
        <f>(LN(D262/G262)+H262^2*J262/2)/(H262*SQRT(J262))</f>
        <v>1.253424111894109</v>
      </c>
      <c r="L262" s="3">
        <f>K262-H262*SQRT(J262)</f>
        <v>0.28156377651812037</v>
      </c>
      <c r="M262" s="3">
        <f>EXP(-E262*J262)*(D262*_xlfn.NORM.DIST(K262,0,1,TRUE)-G262*_xlfn.NORM.DIST(L262,0,1,TRUE))</f>
        <v>24773.326959657454</v>
      </c>
      <c r="N262" s="3">
        <f>EXP(-E262*J262)*(G262*_xlfn.NORM.DIST(-L262,0,1,TRUE)-D262*_xlfn.NORM.DIST(-K262,0,1,TRUE))</f>
        <v>3255.9556219122587</v>
      </c>
      <c r="O262" s="3" t="b">
        <f>(M262-N262)=EXP(-E262*J262)*(D262-G262)</f>
        <v>1</v>
      </c>
    </row>
    <row r="263" spans="1:15" x14ac:dyDescent="0.3">
      <c r="A263" s="1">
        <v>45987</v>
      </c>
      <c r="B263" t="s">
        <v>17</v>
      </c>
      <c r="C263">
        <v>49559.07</v>
      </c>
      <c r="D263">
        <v>52243.476580000002</v>
      </c>
      <c r="E263" s="2">
        <v>1.870324928189749E-2</v>
      </c>
      <c r="F263" s="1">
        <v>50749</v>
      </c>
      <c r="G263">
        <v>29735.442000000003</v>
      </c>
      <c r="H263">
        <v>0.25584899999999999</v>
      </c>
      <c r="J263" s="3">
        <f>(F263-A263)/365</f>
        <v>13.046575342465754</v>
      </c>
      <c r="K263" s="3">
        <f>(LN(D263/G263)+H263^2*J263/2)/(H263*SQRT(J263))</f>
        <v>1.0719096164571633</v>
      </c>
      <c r="L263" s="3">
        <f>K263-H263*SQRT(J263)</f>
        <v>0.14778191841650656</v>
      </c>
      <c r="M263" s="3">
        <f>EXP(-E263*J263)*(D263*_xlfn.NORM.DIST(K263,0,1,TRUE)-G263*_xlfn.NORM.DIST(L263,0,1,TRUE))</f>
        <v>22107.139329511821</v>
      </c>
      <c r="N263" s="3">
        <f>EXP(-E263*J263)*(G263*_xlfn.NORM.DIST(-L263,0,1,TRUE)-D263*_xlfn.NORM.DIST(-K263,0,1,TRUE))</f>
        <v>4472.6080030484554</v>
      </c>
      <c r="O263" s="3" t="b">
        <f>(M263-N263)=EXP(-E263*J263)*(D263-G263)</f>
        <v>1</v>
      </c>
    </row>
    <row r="264" spans="1:15" x14ac:dyDescent="0.3">
      <c r="A264" s="1">
        <v>45987</v>
      </c>
      <c r="B264" t="s">
        <v>17</v>
      </c>
      <c r="C264">
        <v>49559.07</v>
      </c>
      <c r="D264">
        <v>52243.476580000002</v>
      </c>
      <c r="E264" s="2">
        <v>1.870324928189749E-2</v>
      </c>
      <c r="F264" s="1">
        <v>50749</v>
      </c>
      <c r="G264">
        <v>34691.349000000002</v>
      </c>
      <c r="H264">
        <v>0.24510899999999999</v>
      </c>
      <c r="J264" s="3">
        <f>(F264-A264)/365</f>
        <v>13.046575342465754</v>
      </c>
      <c r="K264" s="3">
        <f>(LN(D264/G264)+H264^2*J264/2)/(H264*SQRT(J264))</f>
        <v>0.90511921592201716</v>
      </c>
      <c r="L264" s="3">
        <f>K264-H264*SQRT(J264)</f>
        <v>1.9784444478519903E-2</v>
      </c>
      <c r="M264" s="3">
        <f>EXP(-E264*J264)*(D264*_xlfn.NORM.DIST(K264,0,1,TRUE)-G264*_xlfn.NORM.DIST(L264,0,1,TRUE))</f>
        <v>19648.874799839799</v>
      </c>
      <c r="N264" s="3">
        <f>EXP(-E264*J264)*(G264*_xlfn.NORM.DIST(-L264,0,1,TRUE)-D264*_xlfn.NORM.DIST(-K264,0,1,TRUE))</f>
        <v>5897.1834846582651</v>
      </c>
      <c r="O264" s="3" t="b">
        <f>(M264-N264)=EXP(-E264*J264)*(D264-G264)</f>
        <v>1</v>
      </c>
    </row>
    <row r="265" spans="1:15" x14ac:dyDescent="0.3">
      <c r="A265" s="1">
        <v>45987</v>
      </c>
      <c r="B265" t="s">
        <v>17</v>
      </c>
      <c r="C265">
        <v>49559.07</v>
      </c>
      <c r="D265">
        <v>52243.476580000002</v>
      </c>
      <c r="E265" s="2">
        <v>1.870324928189749E-2</v>
      </c>
      <c r="F265" s="1">
        <v>50749</v>
      </c>
      <c r="G265">
        <v>39647.256000000001</v>
      </c>
      <c r="H265">
        <v>0.23630699999999999</v>
      </c>
      <c r="J265" s="3">
        <f>(F265-A265)/365</f>
        <v>13.046575342465754</v>
      </c>
      <c r="K265" s="3">
        <f>(LN(D265/G265)+H265^2*J265/2)/(H265*SQRT(J265))</f>
        <v>0.75000440078626218</v>
      </c>
      <c r="L265" s="3">
        <f>K265-H265*SQRT(J265)</f>
        <v>-0.10353750846838983</v>
      </c>
      <c r="M265" s="3">
        <f>EXP(-E265*J265)*(D265*_xlfn.NORM.DIST(K265,0,1,TRUE)-G265*_xlfn.NORM.DIST(L265,0,1,TRUE))</f>
        <v>17404.824081379982</v>
      </c>
      <c r="N265" s="3">
        <f>EXP(-E265*J265)*(G265*_xlfn.NORM.DIST(-L265,0,1,TRUE)-D265*_xlfn.NORM.DIST(-K265,0,1,TRUE))</f>
        <v>7535.9727774802841</v>
      </c>
      <c r="O265" s="3" t="b">
        <f>(M265-N265)=EXP(-E265*J265)*(D265-G265)</f>
        <v>1</v>
      </c>
    </row>
    <row r="266" spans="1:15" x14ac:dyDescent="0.3">
      <c r="A266" s="1">
        <v>45987</v>
      </c>
      <c r="B266" t="s">
        <v>17</v>
      </c>
      <c r="C266">
        <v>49559.07</v>
      </c>
      <c r="D266">
        <v>52243.476580000002</v>
      </c>
      <c r="E266" s="2">
        <v>1.870324928189749E-2</v>
      </c>
      <c r="F266" s="1">
        <v>50749</v>
      </c>
      <c r="G266">
        <v>44603.163</v>
      </c>
      <c r="H266">
        <v>0.22908999999999999</v>
      </c>
      <c r="J266" s="3">
        <f>(F266-A266)/365</f>
        <v>13.046575342465754</v>
      </c>
      <c r="K266" s="3">
        <f>(LN(D266/G266)+H266^2*J266/2)/(H266*SQRT(J266))</f>
        <v>0.60481282060248365</v>
      </c>
      <c r="L266" s="3">
        <f>K266-H266*SQRT(J266)</f>
        <v>-0.22266125334009201</v>
      </c>
      <c r="M266" s="3">
        <f>EXP(-E266*J266)*(D266*_xlfn.NORM.DIST(K266,0,1,TRUE)-G266*_xlfn.NORM.DIST(L266,0,1,TRUE))</f>
        <v>15377.447877914035</v>
      </c>
      <c r="N266" s="3">
        <f>EXP(-E266*J266)*(G266*_xlfn.NORM.DIST(-L266,0,1,TRUE)-D266*_xlfn.NORM.DIST(-K266,0,1,TRUE))</f>
        <v>9391.4365852961691</v>
      </c>
      <c r="O266" s="3" t="b">
        <f>(M266-N266)=EXP(-E266*J266)*(D266-G266)</f>
        <v>1</v>
      </c>
    </row>
    <row r="267" spans="1:15" x14ac:dyDescent="0.3">
      <c r="A267" s="1">
        <v>45987</v>
      </c>
      <c r="B267" t="s">
        <v>17</v>
      </c>
      <c r="C267">
        <v>49559.07</v>
      </c>
      <c r="D267">
        <v>52243.476580000002</v>
      </c>
      <c r="E267" s="2">
        <v>1.870324928189749E-2</v>
      </c>
      <c r="F267" s="1">
        <v>50749</v>
      </c>
      <c r="G267">
        <v>47081.116500000004</v>
      </c>
      <c r="H267">
        <v>0.225996</v>
      </c>
      <c r="J267" s="3">
        <f>(F267-A267)/365</f>
        <v>13.046575342465754</v>
      </c>
      <c r="K267" s="3">
        <f>(LN(D267/G267)+H267^2*J267/2)/(H267*SQRT(J267))</f>
        <v>0.53560635664734202</v>
      </c>
      <c r="L267" s="3">
        <f>K267-H267*SQRT(J267)</f>
        <v>-0.2806921758714338</v>
      </c>
      <c r="M267" s="3">
        <f>EXP(-E267*J267)*(D267*_xlfn.NORM.DIST(K267,0,1,TRUE)-G267*_xlfn.NORM.DIST(L267,0,1,TRUE))</f>
        <v>14444.61392714853</v>
      </c>
      <c r="N267" s="3">
        <f>EXP(-E267*J267)*(G267*_xlfn.NORM.DIST(-L267,0,1,TRUE)-D267*_xlfn.NORM.DIST(-K267,0,1,TRUE))</f>
        <v>10400.022640171583</v>
      </c>
      <c r="O267" s="3" t="b">
        <f>(M267-N267)=EXP(-E267*J267)*(D267-G267)</f>
        <v>1</v>
      </c>
    </row>
    <row r="268" spans="1:15" x14ac:dyDescent="0.3">
      <c r="A268" s="1">
        <v>45987</v>
      </c>
      <c r="B268" t="s">
        <v>17</v>
      </c>
      <c r="C268">
        <v>49559.07</v>
      </c>
      <c r="D268">
        <v>52243.476580000002</v>
      </c>
      <c r="E268" s="2">
        <v>1.870324928189749E-2</v>
      </c>
      <c r="F268" s="1">
        <v>50749</v>
      </c>
      <c r="G268">
        <v>49559.07</v>
      </c>
      <c r="H268">
        <v>0.22320999999999999</v>
      </c>
      <c r="J268" s="3">
        <f>(F268-A268)/365</f>
        <v>13.046575342465754</v>
      </c>
      <c r="K268" s="3">
        <f>(LN(D268/G268)+H268^2*J268/2)/(H268*SQRT(J268))</f>
        <v>0.46854495774339849</v>
      </c>
      <c r="L268" s="3">
        <f>K268-H268*SQRT(J268)</f>
        <v>-0.33769053068788318</v>
      </c>
      <c r="M268" s="3">
        <f>EXP(-E268*J268)*(D268*_xlfn.NORM.DIST(K268,0,1,TRUE)-G268*_xlfn.NORM.DIST(L268,0,1,TRUE))</f>
        <v>13564.83591685624</v>
      </c>
      <c r="N268" s="3">
        <f>EXP(-E268*J268)*(G268*_xlfn.NORM.DIST(-L268,0,1,TRUE)-D268*_xlfn.NORM.DIST(-K268,0,1,TRUE))</f>
        <v>11461.664635520207</v>
      </c>
      <c r="O268" s="3" t="b">
        <f>(M268-N268)=EXP(-E268*J268)*(D268-G268)</f>
        <v>0</v>
      </c>
    </row>
    <row r="269" spans="1:15" x14ac:dyDescent="0.3">
      <c r="A269" s="1">
        <v>45987</v>
      </c>
      <c r="B269" t="s">
        <v>17</v>
      </c>
      <c r="C269">
        <v>49559.07</v>
      </c>
      <c r="D269">
        <v>52243.476580000002</v>
      </c>
      <c r="E269" s="2">
        <v>1.870324928189749E-2</v>
      </c>
      <c r="F269" s="1">
        <v>50749</v>
      </c>
      <c r="G269">
        <v>52037.023499999996</v>
      </c>
      <c r="H269">
        <v>0.22070999999999999</v>
      </c>
      <c r="J269" s="3">
        <f>(F269-A269)/365</f>
        <v>13.046575342465754</v>
      </c>
      <c r="K269" s="3">
        <f>(LN(D269/G269)+H269^2*J269/2)/(H269*SQRT(J269))</f>
        <v>0.40356956026702351</v>
      </c>
      <c r="L269" s="3">
        <f>K269-H269*SQRT(J269)</f>
        <v>-0.3936359173176196</v>
      </c>
      <c r="M269" s="3">
        <f>EXP(-E269*J269)*(D269*_xlfn.NORM.DIST(K269,0,1,TRUE)-G269*_xlfn.NORM.DIST(L269,0,1,TRUE))</f>
        <v>12737.143425384849</v>
      </c>
      <c r="N269" s="3">
        <f>EXP(-E269*J269)*(G269*_xlfn.NORM.DIST(-L269,0,1,TRUE)-D269*_xlfn.NORM.DIST(-K269,0,1,TRUE))</f>
        <v>12575.392149689724</v>
      </c>
      <c r="O269" s="3" t="b">
        <f>(M269-N269)=EXP(-E269*J269)*(D269-G269)</f>
        <v>0</v>
      </c>
    </row>
    <row r="270" spans="1:15" x14ac:dyDescent="0.3">
      <c r="A270" s="1">
        <v>45987</v>
      </c>
      <c r="B270" t="s">
        <v>17</v>
      </c>
      <c r="C270">
        <v>49559.07</v>
      </c>
      <c r="D270">
        <v>52243.476580000002</v>
      </c>
      <c r="E270" s="2">
        <v>1.870324928189749E-2</v>
      </c>
      <c r="F270" s="1">
        <v>50749</v>
      </c>
      <c r="G270">
        <v>54514.976999999999</v>
      </c>
      <c r="H270">
        <v>0.218475</v>
      </c>
      <c r="J270" s="3">
        <f>(F270-A270)/365</f>
        <v>13.046575342465754</v>
      </c>
      <c r="K270" s="3">
        <f>(LN(D270/G270)+H270^2*J270/2)/(H270*SQRT(J270))</f>
        <v>0.34063313734591</v>
      </c>
      <c r="L270" s="3">
        <f>K270-H270*SQRT(J270)</f>
        <v>-0.44849951054183818</v>
      </c>
      <c r="M270" s="3">
        <f>EXP(-E270*J270)*(D270*_xlfn.NORM.DIST(K270,0,1,TRUE)-G270*_xlfn.NORM.DIST(L270,0,1,TRUE))</f>
        <v>11960.228645654126</v>
      </c>
      <c r="N270" s="3">
        <f>EXP(-E270*J270)*(G270*_xlfn.NORM.DIST(-L270,0,1,TRUE)-D270*_xlfn.NORM.DIST(-K270,0,1,TRUE))</f>
        <v>13739.897375599921</v>
      </c>
      <c r="O270" s="3" t="b">
        <f>(M270-N270)=EXP(-E270*J270)*(D270-G270)</f>
        <v>0</v>
      </c>
    </row>
    <row r="271" spans="1:15" x14ac:dyDescent="0.3">
      <c r="A271" s="1">
        <v>45987</v>
      </c>
      <c r="B271" t="s">
        <v>17</v>
      </c>
      <c r="C271">
        <v>49559.07</v>
      </c>
      <c r="D271">
        <v>52243.476580000002</v>
      </c>
      <c r="E271" s="2">
        <v>1.870324928189749E-2</v>
      </c>
      <c r="F271" s="1">
        <v>50749</v>
      </c>
      <c r="G271">
        <v>59470.884000000005</v>
      </c>
      <c r="H271">
        <v>0.214729</v>
      </c>
      <c r="J271" s="3">
        <f>(F271-A271)/365</f>
        <v>13.046575342465754</v>
      </c>
      <c r="K271" s="3">
        <f>(LN(D271/G271)+H271^2*J271/2)/(H271*SQRT(J271))</f>
        <v>0.22074138546535893</v>
      </c>
      <c r="L271" s="3">
        <f>K271-H271*SQRT(J271)</f>
        <v>-0.55486069416978601</v>
      </c>
      <c r="M271" s="3">
        <f>EXP(-E271*J271)*(D271*_xlfn.NORM.DIST(K271,0,1,TRUE)-G271*_xlfn.NORM.DIST(L271,0,1,TRUE))</f>
        <v>10552.533204819792</v>
      </c>
      <c r="N271" s="3">
        <f>EXP(-E271*J271)*(G271*_xlfn.NORM.DIST(-L271,0,1,TRUE)-D271*_xlfn.NORM.DIST(-K271,0,1,TRUE))</f>
        <v>16215.041946047428</v>
      </c>
      <c r="O271" s="3" t="b">
        <f>(M271-N271)=EXP(-E271*J271)*(D271-G271)</f>
        <v>0</v>
      </c>
    </row>
    <row r="272" spans="1:15" x14ac:dyDescent="0.3">
      <c r="A272" s="1">
        <v>45987</v>
      </c>
      <c r="B272" t="s">
        <v>17</v>
      </c>
      <c r="C272">
        <v>49559.07</v>
      </c>
      <c r="D272">
        <v>52243.476580000002</v>
      </c>
      <c r="E272" s="2">
        <v>1.870324928189749E-2</v>
      </c>
      <c r="F272" s="1">
        <v>50749</v>
      </c>
      <c r="G272">
        <v>64426.790999999997</v>
      </c>
      <c r="H272">
        <v>0.21183399999999999</v>
      </c>
      <c r="J272" s="3">
        <f>(F272-A272)/365</f>
        <v>13.046575342465754</v>
      </c>
      <c r="K272" s="3">
        <f>(LN(D272/G272)+H272^2*J272/2)/(H272*SQRT(J272))</f>
        <v>0.10861879412849612</v>
      </c>
      <c r="L272" s="3">
        <f>K272-H272*SQRT(J272)</f>
        <v>-0.6565265329462413</v>
      </c>
      <c r="M272" s="3">
        <f>EXP(-E272*J272)*(D272*_xlfn.NORM.DIST(K272,0,1,TRUE)-G272*_xlfn.NORM.DIST(L272,0,1,TRUE))</f>
        <v>9326.8729472753184</v>
      </c>
      <c r="N272" s="3">
        <f>EXP(-E272*J272)*(G272*_xlfn.NORM.DIST(-L272,0,1,TRUE)-D272*_xlfn.NORM.DIST(-K272,0,1,TRUE))</f>
        <v>18872.221699784783</v>
      </c>
      <c r="O272" s="3" t="b">
        <f>(M272-N272)=EXP(-E272*J272)*(D272-G272)</f>
        <v>1</v>
      </c>
    </row>
    <row r="273" spans="1:15" x14ac:dyDescent="0.3">
      <c r="A273" s="1">
        <v>45987</v>
      </c>
      <c r="B273" t="s">
        <v>17</v>
      </c>
      <c r="C273">
        <v>49559.07</v>
      </c>
      <c r="D273">
        <v>52243.476580000002</v>
      </c>
      <c r="E273" s="2">
        <v>1.870324928189749E-2</v>
      </c>
      <c r="F273" s="1">
        <v>50749</v>
      </c>
      <c r="G273">
        <v>69382.698000000004</v>
      </c>
      <c r="H273">
        <v>0.209671</v>
      </c>
      <c r="J273" s="3">
        <f>(F273-A273)/365</f>
        <v>13.046575342465754</v>
      </c>
      <c r="K273" s="3">
        <f>(LN(D273/G273)+H273^2*J273/2)/(H273*SQRT(J273))</f>
        <v>4.032322768957145E-3</v>
      </c>
      <c r="L273" s="3">
        <f>K273-H273*SQRT(J273)</f>
        <v>-0.75330023892126852</v>
      </c>
      <c r="M273" s="3">
        <f>EXP(-E273*J273)*(D273*_xlfn.NORM.DIST(K273,0,1,TRUE)-G273*_xlfn.NORM.DIST(L273,0,1,TRUE))</f>
        <v>8266.1793572185034</v>
      </c>
      <c r="N273" s="3">
        <f>EXP(-E273*J273)*(G273*_xlfn.NORM.DIST(-L273,0,1,TRUE)-D273*_xlfn.NORM.DIST(-K273,0,1,TRUE))</f>
        <v>21694.368121009797</v>
      </c>
      <c r="O273" s="3" t="b">
        <f>(M273-N273)=EXP(-E273*J273)*(D273-G273)</f>
        <v>1</v>
      </c>
    </row>
    <row r="274" spans="1:15" x14ac:dyDescent="0.3">
      <c r="A274" s="1">
        <v>45987</v>
      </c>
      <c r="B274" t="s">
        <v>17</v>
      </c>
      <c r="C274">
        <v>49559.07</v>
      </c>
      <c r="D274">
        <v>52243.476580000002</v>
      </c>
      <c r="E274" s="2">
        <v>1.870324928189749E-2</v>
      </c>
      <c r="F274" s="1">
        <v>50749</v>
      </c>
      <c r="G274">
        <v>74338.604999999996</v>
      </c>
      <c r="H274">
        <v>0.20813000000000001</v>
      </c>
      <c r="J274" s="3">
        <f>(F274-A274)/365</f>
        <v>13.046575342465754</v>
      </c>
      <c r="K274" s="3">
        <f>(LN(D274/G274)+H274^2*J274/2)/(H274*SQRT(J274))</f>
        <v>-9.3298866942761308E-2</v>
      </c>
      <c r="L274" s="3">
        <f>K274-H274*SQRT(J274)</f>
        <v>-0.84506532994711903</v>
      </c>
      <c r="M274" s="3">
        <f>EXP(-E274*J274)*(D274*_xlfn.NORM.DIST(K274,0,1,TRUE)-G274*_xlfn.NORM.DIST(L274,0,1,TRUE))</f>
        <v>7352.0416689831782</v>
      </c>
      <c r="N274" s="3">
        <f>EXP(-E274*J274)*(G274*_xlfn.NORM.DIST(-L274,0,1,TRUE)-D274*_xlfn.NORM.DIST(-K274,0,1,TRUE))</f>
        <v>24663.070444056306</v>
      </c>
      <c r="O274" s="3" t="b">
        <f>(M274-N274)=EXP(-E274*J274)*(D274-G274)</f>
        <v>1</v>
      </c>
    </row>
    <row r="275" spans="1:15" x14ac:dyDescent="0.3">
      <c r="A275" s="1">
        <v>45987</v>
      </c>
      <c r="B275" t="s">
        <v>17</v>
      </c>
      <c r="C275">
        <v>49559.07</v>
      </c>
      <c r="D275">
        <v>53141.344960000002</v>
      </c>
      <c r="E275" s="2">
        <v>1.9566182715803203E-2</v>
      </c>
      <c r="F275" s="1">
        <v>51113</v>
      </c>
      <c r="G275">
        <v>24779.535</v>
      </c>
      <c r="H275">
        <v>0.26810800000000001</v>
      </c>
      <c r="J275" s="3">
        <f>(F275-A275)/365</f>
        <v>14.043835616438356</v>
      </c>
      <c r="K275" s="3">
        <f>(LN(D275/G275)+H275^2*J275/2)/(H275*SQRT(J275))</f>
        <v>1.2617084990601368</v>
      </c>
      <c r="L275" s="3">
        <f>K275-H275*SQRT(J275)</f>
        <v>0.25697093000116533</v>
      </c>
      <c r="M275" s="3">
        <f>EXP(-E275*J275)*(D275*_xlfn.NORM.DIST(K275,0,1,TRUE)-G275*_xlfn.NORM.DIST(L275,0,1,TRUE))</f>
        <v>24871.775515575686</v>
      </c>
      <c r="N275" s="3">
        <f>EXP(-E275*J275)*(G275*_xlfn.NORM.DIST(-L275,0,1,TRUE)-D275*_xlfn.NORM.DIST(-K275,0,1,TRUE))</f>
        <v>3324.2870163228181</v>
      </c>
      <c r="O275" s="3" t="b">
        <f>(M275-N275)=EXP(-E275*J275)*(D275-G275)</f>
        <v>1</v>
      </c>
    </row>
    <row r="276" spans="1:15" x14ac:dyDescent="0.3">
      <c r="A276" s="1">
        <v>45987</v>
      </c>
      <c r="B276" t="s">
        <v>17</v>
      </c>
      <c r="C276">
        <v>49559.07</v>
      </c>
      <c r="D276">
        <v>53141.344960000002</v>
      </c>
      <c r="E276" s="2">
        <v>1.9566182715803203E-2</v>
      </c>
      <c r="F276" s="1">
        <v>51113</v>
      </c>
      <c r="G276">
        <v>29735.442000000003</v>
      </c>
      <c r="H276">
        <v>0.25542999999999999</v>
      </c>
      <c r="J276" s="3">
        <f>(F276-A276)/365</f>
        <v>14.043835616438356</v>
      </c>
      <c r="K276" s="3">
        <f>(LN(D276/G276)+H276^2*J276/2)/(H276*SQRT(J276))</f>
        <v>1.0851735212261788</v>
      </c>
      <c r="L276" s="3">
        <f>K276-H276*SQRT(J276)</f>
        <v>0.12794689141754545</v>
      </c>
      <c r="M276" s="3">
        <f>EXP(-E276*J276)*(D276*_xlfn.NORM.DIST(K276,0,1,TRUE)-G276*_xlfn.NORM.DIST(L276,0,1,TRUE))</f>
        <v>22319.093712726262</v>
      </c>
      <c r="N276" s="3">
        <f>EXP(-E276*J276)*(G276*_xlfn.NORM.DIST(-L276,0,1,TRUE)-D276*_xlfn.NORM.DIST(-K276,0,1,TRUE))</f>
        <v>4536.7862522178912</v>
      </c>
      <c r="O276" s="3" t="b">
        <f>(M276-N276)=EXP(-E276*J276)*(D276-G276)</f>
        <v>1</v>
      </c>
    </row>
    <row r="277" spans="1:15" x14ac:dyDescent="0.3">
      <c r="A277" s="1">
        <v>45987</v>
      </c>
      <c r="B277" t="s">
        <v>17</v>
      </c>
      <c r="C277">
        <v>49559.07</v>
      </c>
      <c r="D277">
        <v>53141.344960000002</v>
      </c>
      <c r="E277" s="2">
        <v>1.9566182715803203E-2</v>
      </c>
      <c r="F277" s="1">
        <v>51113</v>
      </c>
      <c r="G277">
        <v>34691.349000000002</v>
      </c>
      <c r="H277">
        <v>0.24510899999999999</v>
      </c>
      <c r="J277" s="3">
        <f>(F277-A277)/365</f>
        <v>14.043835616438356</v>
      </c>
      <c r="K277" s="3">
        <f>(LN(D277/G277)+H277^2*J277/2)/(H277*SQRT(J277))</f>
        <v>0.92355556109097492</v>
      </c>
      <c r="L277" s="3">
        <f>K277-H277*SQRT(J277)</f>
        <v>5.0069880738495831E-3</v>
      </c>
      <c r="M277" s="3">
        <f>EXP(-E277*J277)*(D277*_xlfn.NORM.DIST(K277,0,1,TRUE)-G277*_xlfn.NORM.DIST(L277,0,1,TRUE))</f>
        <v>19961.847070656764</v>
      </c>
      <c r="N277" s="3">
        <f>EXP(-E277*J277)*(G277*_xlfn.NORM.DIST(-L277,0,1,TRUE)-D277*_xlfn.NORM.DIST(-K277,0,1,TRUE))</f>
        <v>5944.7206488928841</v>
      </c>
      <c r="O277" s="3" t="b">
        <f>(M277-N277)=EXP(-E277*J277)*(D277-G277)</f>
        <v>1</v>
      </c>
    </row>
    <row r="278" spans="1:15" x14ac:dyDescent="0.3">
      <c r="A278" s="1">
        <v>45987</v>
      </c>
      <c r="B278" t="s">
        <v>17</v>
      </c>
      <c r="C278">
        <v>49559.07</v>
      </c>
      <c r="D278">
        <v>53141.344960000002</v>
      </c>
      <c r="E278" s="2">
        <v>1.9566182715803203E-2</v>
      </c>
      <c r="F278" s="1">
        <v>51113</v>
      </c>
      <c r="G278">
        <v>39647.256000000001</v>
      </c>
      <c r="H278">
        <v>0.236622</v>
      </c>
      <c r="J278" s="3">
        <f>(F278-A278)/365</f>
        <v>14.043835616438356</v>
      </c>
      <c r="K278" s="3">
        <f>(LN(D278/G278)+H278^2*J278/2)/(H278*SQRT(J278))</f>
        <v>0.77371925640242467</v>
      </c>
      <c r="L278" s="3">
        <f>K278-H278*SQRT(J278)</f>
        <v>-0.11302419424385202</v>
      </c>
      <c r="M278" s="3">
        <f>EXP(-E278*J278)*(D278*_xlfn.NORM.DIST(K278,0,1,TRUE)-G278*_xlfn.NORM.DIST(L278,0,1,TRUE))</f>
        <v>17804.048819850381</v>
      </c>
      <c r="N278" s="3">
        <f>EXP(-E278*J278)*(G278*_xlfn.NORM.DIST(-L278,0,1,TRUE)-D278*_xlfn.NORM.DIST(-K278,0,1,TRUE))</f>
        <v>7552.1034368309929</v>
      </c>
      <c r="O278" s="3" t="b">
        <f>(M278-N278)=EXP(-E278*J278)*(D278-G278)</f>
        <v>1</v>
      </c>
    </row>
    <row r="279" spans="1:15" x14ac:dyDescent="0.3">
      <c r="A279" s="1">
        <v>45987</v>
      </c>
      <c r="B279" t="s">
        <v>17</v>
      </c>
      <c r="C279">
        <v>49559.07</v>
      </c>
      <c r="D279">
        <v>53141.344960000002</v>
      </c>
      <c r="E279" s="2">
        <v>1.9566182715803203E-2</v>
      </c>
      <c r="F279" s="1">
        <v>51113</v>
      </c>
      <c r="G279">
        <v>44603.163</v>
      </c>
      <c r="H279">
        <v>0.229626</v>
      </c>
      <c r="J279" s="3">
        <f>(F279-A279)/365</f>
        <v>14.043835616438356</v>
      </c>
      <c r="K279" s="3">
        <f>(LN(D279/G279)+H279^2*J279/2)/(H279*SQRT(J279))</f>
        <v>0.63380181662166746</v>
      </c>
      <c r="L279" s="3">
        <f>K279-H279*SQRT(J279)</f>
        <v>-0.22672404994231188</v>
      </c>
      <c r="M279" s="3">
        <f>EXP(-E279*J279)*(D279*_xlfn.NORM.DIST(K279,0,1,TRUE)-G279*_xlfn.NORM.DIST(L279,0,1,TRUE))</f>
        <v>15846.615191578265</v>
      </c>
      <c r="N279" s="3">
        <f>EXP(-E279*J279)*(G279*_xlfn.NORM.DIST(-L279,0,1,TRUE)-D279*_xlfn.NORM.DIST(-K279,0,1,TRUE))</f>
        <v>9359.850847303378</v>
      </c>
      <c r="O279" s="3" t="b">
        <f>(M279-N279)=EXP(-E279*J279)*(D279-G279)</f>
        <v>1</v>
      </c>
    </row>
    <row r="280" spans="1:15" x14ac:dyDescent="0.3">
      <c r="A280" s="1">
        <v>45987</v>
      </c>
      <c r="B280" t="s">
        <v>17</v>
      </c>
      <c r="C280">
        <v>49559.07</v>
      </c>
      <c r="D280">
        <v>53141.344960000002</v>
      </c>
      <c r="E280" s="2">
        <v>1.9566182715803203E-2</v>
      </c>
      <c r="F280" s="1">
        <v>51113</v>
      </c>
      <c r="G280">
        <v>47081.116500000004</v>
      </c>
      <c r="H280">
        <v>0.226609</v>
      </c>
      <c r="J280" s="3">
        <f>(F280-A280)/365</f>
        <v>14.043835616438356</v>
      </c>
      <c r="K280" s="3">
        <f>(LN(D280/G280)+H280^2*J280/2)/(H280*SQRT(J280))</f>
        <v>0.56719160138871982</v>
      </c>
      <c r="L280" s="3">
        <f>K280-H280*SQRT(J280)</f>
        <v>-0.2820280257275336</v>
      </c>
      <c r="M280" s="3">
        <f>EXP(-E280*J280)*(D280*_xlfn.NORM.DIST(K280,0,1,TRUE)-G280*_xlfn.NORM.DIST(L280,0,1,TRUE))</f>
        <v>14942.355286652322</v>
      </c>
      <c r="N280" s="3">
        <f>EXP(-E280*J280)*(G280*_xlfn.NORM.DIST(-L280,0,1,TRUE)-D280*_xlfn.NORM.DIST(-K280,0,1,TRUE))</f>
        <v>10338.181461749682</v>
      </c>
      <c r="O280" s="3" t="b">
        <f>(M280-N280)=EXP(-E280*J280)*(D280-G280)</f>
        <v>1</v>
      </c>
    </row>
    <row r="281" spans="1:15" x14ac:dyDescent="0.3">
      <c r="A281" s="1">
        <v>45987</v>
      </c>
      <c r="B281" t="s">
        <v>17</v>
      </c>
      <c r="C281">
        <v>49559.07</v>
      </c>
      <c r="D281">
        <v>53141.344960000002</v>
      </c>
      <c r="E281" s="2">
        <v>1.9566182715803203E-2</v>
      </c>
      <c r="F281" s="1">
        <v>51113</v>
      </c>
      <c r="G281">
        <v>49559.07</v>
      </c>
      <c r="H281">
        <v>0.22387899999999999</v>
      </c>
      <c r="J281" s="3">
        <f>(F281-A281)/365</f>
        <v>14.043835616438356</v>
      </c>
      <c r="K281" s="3">
        <f>(LN(D281/G281)+H281^2*J281/2)/(H281*SQRT(J281))</f>
        <v>0.50267787008160025</v>
      </c>
      <c r="L281" s="3">
        <f>K281-H281*SQRT(J281)</f>
        <v>-0.33631105312603793</v>
      </c>
      <c r="M281" s="3">
        <f>EXP(-E281*J281)*(D281*_xlfn.NORM.DIST(K281,0,1,TRUE)-G281*_xlfn.NORM.DIST(L281,0,1,TRUE))</f>
        <v>14086.878653329959</v>
      </c>
      <c r="N281" s="3">
        <f>EXP(-E281*J281)*(G281*_xlfn.NORM.DIST(-L281,0,1,TRUE)-D281*_xlfn.NORM.DIST(-K281,0,1,TRUE))</f>
        <v>11365.295347799562</v>
      </c>
      <c r="O281" s="3" t="b">
        <f>(M281-N281)=EXP(-E281*J281)*(D281-G281)</f>
        <v>0</v>
      </c>
    </row>
    <row r="282" spans="1:15" x14ac:dyDescent="0.3">
      <c r="A282" s="1">
        <v>45987</v>
      </c>
      <c r="B282" t="s">
        <v>17</v>
      </c>
      <c r="C282">
        <v>49559.07</v>
      </c>
      <c r="D282">
        <v>53141.344960000002</v>
      </c>
      <c r="E282" s="2">
        <v>1.9566182715803203E-2</v>
      </c>
      <c r="F282" s="1">
        <v>51113</v>
      </c>
      <c r="G282">
        <v>52037.023499999996</v>
      </c>
      <c r="H282">
        <v>0.221414</v>
      </c>
      <c r="J282" s="3">
        <f>(F282-A282)/365</f>
        <v>14.043835616438356</v>
      </c>
      <c r="K282" s="3">
        <f>(LN(D282/G282)+H282^2*J282/2)/(H282*SQRT(J282))</f>
        <v>0.44018419471688253</v>
      </c>
      <c r="L282" s="3">
        <f>K282-H282*SQRT(J282)</f>
        <v>-0.38956711488828821</v>
      </c>
      <c r="M282" s="3">
        <f>EXP(-E282*J282)*(D282*_xlfn.NORM.DIST(K282,0,1,TRUE)-G282*_xlfn.NORM.DIST(L282,0,1,TRUE))</f>
        <v>13279.230754839633</v>
      </c>
      <c r="N282" s="3">
        <f>EXP(-E282*J282)*(G282*_xlfn.NORM.DIST(-L282,0,1,TRUE)-D282*_xlfn.NORM.DIST(-K282,0,1,TRUE))</f>
        <v>12440.237968681493</v>
      </c>
      <c r="O282" s="3" t="b">
        <f>(M282-N282)=EXP(-E282*J282)*(D282-G282)</f>
        <v>0</v>
      </c>
    </row>
    <row r="283" spans="1:15" x14ac:dyDescent="0.3">
      <c r="A283" s="1">
        <v>45987</v>
      </c>
      <c r="B283" t="s">
        <v>17</v>
      </c>
      <c r="C283">
        <v>49559.07</v>
      </c>
      <c r="D283">
        <v>53141.344960000002</v>
      </c>
      <c r="E283" s="2">
        <v>1.9566182715803203E-2</v>
      </c>
      <c r="F283" s="1">
        <v>51113</v>
      </c>
      <c r="G283">
        <v>54514.976999999999</v>
      </c>
      <c r="H283">
        <v>0.219197</v>
      </c>
      <c r="J283" s="3">
        <f>(F283-A283)/365</f>
        <v>14.043835616438356</v>
      </c>
      <c r="K283" s="3">
        <f>(LN(D283/G283)+H283^2*J283/2)/(H283*SQRT(J283))</f>
        <v>0.37965399226123714</v>
      </c>
      <c r="L283" s="3">
        <f>K283-H283*SQRT(J283)</f>
        <v>-0.44178908636759667</v>
      </c>
      <c r="M283" s="3">
        <f>EXP(-E283*J283)*(D283*_xlfn.NORM.DIST(K283,0,1,TRUE)-G283*_xlfn.NORM.DIST(L283,0,1,TRUE))</f>
        <v>12518.39417100991</v>
      </c>
      <c r="N283" s="3">
        <f>EXP(-E283*J283)*(G283*_xlfn.NORM.DIST(-L283,0,1,TRUE)-D283*_xlfn.NORM.DIST(-K283,0,1,TRUE))</f>
        <v>13561.991904224011</v>
      </c>
      <c r="O283" s="3" t="b">
        <f>(M283-N283)=EXP(-E283*J283)*(D283-G283)</f>
        <v>1</v>
      </c>
    </row>
    <row r="284" spans="1:15" x14ac:dyDescent="0.3">
      <c r="A284" s="1">
        <v>45987</v>
      </c>
      <c r="B284" t="s">
        <v>17</v>
      </c>
      <c r="C284">
        <v>49559.07</v>
      </c>
      <c r="D284">
        <v>53141.344960000002</v>
      </c>
      <c r="E284" s="2">
        <v>1.9566182715803203E-2</v>
      </c>
      <c r="F284" s="1">
        <v>51113</v>
      </c>
      <c r="G284">
        <v>59470.884000000005</v>
      </c>
      <c r="H284">
        <v>0.21543100000000001</v>
      </c>
      <c r="J284" s="3">
        <f>(F284-A284)/365</f>
        <v>14.043835616438356</v>
      </c>
      <c r="K284" s="3">
        <f>(LN(D284/G284)+H284^2*J284/2)/(H284*SQRT(J284))</f>
        <v>0.26427760748053813</v>
      </c>
      <c r="L284" s="3">
        <f>K284-H284*SQRT(J284)</f>
        <v>-0.54305234626923182</v>
      </c>
      <c r="M284" s="3">
        <f>EXP(-E284*J284)*(D284*_xlfn.NORM.DIST(K284,0,1,TRUE)-G284*_xlfn.NORM.DIST(L284,0,1,TRUE))</f>
        <v>11131.204743716376</v>
      </c>
      <c r="N284" s="3">
        <f>EXP(-E284*J284)*(G284*_xlfn.NORM.DIST(-L284,0,1,TRUE)-D284*_xlfn.NORM.DIST(-K284,0,1,TRUE))</f>
        <v>15939.98351567498</v>
      </c>
      <c r="O284" s="3" t="b">
        <f>(M284-N284)=EXP(-E284*J284)*(D284-G284)</f>
        <v>1</v>
      </c>
    </row>
    <row r="285" spans="1:15" x14ac:dyDescent="0.3">
      <c r="A285" s="1">
        <v>45987</v>
      </c>
      <c r="B285" t="s">
        <v>17</v>
      </c>
      <c r="C285">
        <v>49559.07</v>
      </c>
      <c r="D285">
        <v>53141.344960000002</v>
      </c>
      <c r="E285" s="2">
        <v>1.9566182715803203E-2</v>
      </c>
      <c r="F285" s="1">
        <v>51113</v>
      </c>
      <c r="G285">
        <v>64426.790999999997</v>
      </c>
      <c r="H285">
        <v>0.21245700000000001</v>
      </c>
      <c r="J285" s="3">
        <f>(F285-A285)/365</f>
        <v>14.043835616438356</v>
      </c>
      <c r="K285" s="3">
        <f>(LN(D285/G285)+H285^2*J285/2)/(H285*SQRT(J285))</f>
        <v>0.1562210787724056</v>
      </c>
      <c r="L285" s="3">
        <f>K285-H285*SQRT(J285)</f>
        <v>-0.63996377848497543</v>
      </c>
      <c r="M285" s="3">
        <f>EXP(-E285*J285)*(D285*_xlfn.NORM.DIST(K285,0,1,TRUE)-G285*_xlfn.NORM.DIST(L285,0,1,TRUE))</f>
        <v>9912.6386478917684</v>
      </c>
      <c r="N285" s="3">
        <f>EXP(-E285*J285)*(G285*_xlfn.NORM.DIST(-L285,0,1,TRUE)-D285*_xlfn.NORM.DIST(-K285,0,1,TRUE))</f>
        <v>18486.598458594864</v>
      </c>
      <c r="O285" s="3" t="b">
        <f>(M285-N285)=EXP(-E285*J285)*(D285-G285)</f>
        <v>0</v>
      </c>
    </row>
    <row r="286" spans="1:15" x14ac:dyDescent="0.3">
      <c r="A286" s="1">
        <v>45987</v>
      </c>
      <c r="B286" t="s">
        <v>17</v>
      </c>
      <c r="C286">
        <v>49559.07</v>
      </c>
      <c r="D286">
        <v>53141.344960000002</v>
      </c>
      <c r="E286" s="2">
        <v>1.9566182715803203E-2</v>
      </c>
      <c r="F286" s="1">
        <v>51113</v>
      </c>
      <c r="G286">
        <v>69382.698000000004</v>
      </c>
      <c r="H286">
        <v>0.21016499999999999</v>
      </c>
      <c r="J286" s="3">
        <f>(F286-A286)/365</f>
        <v>14.043835616438356</v>
      </c>
      <c r="K286" s="3">
        <f>(LN(D286/G286)+H286^2*J286/2)/(H286*SQRT(J286))</f>
        <v>5.5194707978967042E-2</v>
      </c>
      <c r="L286" s="3">
        <f>K286-H286*SQRT(J286)</f>
        <v>-0.73240085500788421</v>
      </c>
      <c r="M286" s="3">
        <f>EXP(-E286*J286)*(D286*_xlfn.NORM.DIST(K286,0,1,TRUE)-G286*_xlfn.NORM.DIST(L286,0,1,TRUE))</f>
        <v>8847.944439330915</v>
      </c>
      <c r="N286" s="3">
        <f>EXP(-E286*J286)*(G286*_xlfn.NORM.DIST(-L286,0,1,TRUE)-D286*_xlfn.NORM.DIST(-K286,0,1,TRUE))</f>
        <v>21187.085288778511</v>
      </c>
      <c r="O286" s="3" t="b">
        <f>(M286-N286)=EXP(-E286*J286)*(D286-G286)</f>
        <v>1</v>
      </c>
    </row>
    <row r="287" spans="1:15" x14ac:dyDescent="0.3">
      <c r="A287" s="1">
        <v>45987</v>
      </c>
      <c r="B287" t="s">
        <v>17</v>
      </c>
      <c r="C287">
        <v>49559.07</v>
      </c>
      <c r="D287">
        <v>53141.344960000002</v>
      </c>
      <c r="E287" s="2">
        <v>1.9566182715803203E-2</v>
      </c>
      <c r="F287" s="1">
        <v>51113</v>
      </c>
      <c r="G287">
        <v>74338.604999999996</v>
      </c>
      <c r="H287">
        <v>0.208457</v>
      </c>
      <c r="J287" s="3">
        <f>(F287-A287)/365</f>
        <v>14.043835616438356</v>
      </c>
      <c r="K287" s="3">
        <f>(LN(D287/G287)+H287^2*J287/2)/(H287*SQRT(J287))</f>
        <v>-3.9097136596943839E-2</v>
      </c>
      <c r="L287" s="3">
        <f>K287-H287*SQRT(J287)</f>
        <v>-0.82029195149737955</v>
      </c>
      <c r="M287" s="3">
        <f>EXP(-E287*J287)*(D287*_xlfn.NORM.DIST(K287,0,1,TRUE)-G287*_xlfn.NORM.DIST(L287,0,1,TRUE))</f>
        <v>7921.3205015460826</v>
      </c>
      <c r="N287" s="3">
        <f>EXP(-E287*J287)*(G287*_xlfn.NORM.DIST(-L287,0,1,TRUE)-D287*_xlfn.NORM.DIST(-K287,0,1,TRUE))</f>
        <v>24025.642389738165</v>
      </c>
      <c r="O287" s="3" t="b">
        <f>(M287-N287)=EXP(-E287*J287)*(D287-G287)</f>
        <v>1</v>
      </c>
    </row>
    <row r="288" spans="1:15" x14ac:dyDescent="0.3">
      <c r="A288" s="1">
        <v>45987</v>
      </c>
      <c r="B288" t="s">
        <v>17</v>
      </c>
      <c r="C288">
        <v>49559.07</v>
      </c>
      <c r="D288">
        <v>60604.608099999998</v>
      </c>
      <c r="E288" s="2">
        <v>2.3636230164472114E-2</v>
      </c>
      <c r="F288" s="1">
        <v>52940</v>
      </c>
      <c r="G288">
        <v>24779.535</v>
      </c>
      <c r="H288">
        <v>0.26658500000000002</v>
      </c>
      <c r="J288" s="3">
        <f>(F288-A288)/365</f>
        <v>19.049315068493151</v>
      </c>
      <c r="K288" s="3">
        <f>(LN(D288/G288)+H288^2*J288/2)/(H288*SQRT(J288))</f>
        <v>1.3504206590607148</v>
      </c>
      <c r="L288" s="3">
        <f>K288-H288*SQRT(J288)</f>
        <v>0.18689653641702542</v>
      </c>
      <c r="M288" s="3">
        <f>EXP(-E288*J288)*(D288*_xlfn.NORM.DIST(K288,0,1,TRUE)-G288*_xlfn.NORM.DIST(L288,0,1,TRUE))</f>
        <v>26147.621765039341</v>
      </c>
      <c r="N288" s="3">
        <f>EXP(-E288*J288)*(G288*_xlfn.NORM.DIST(-L288,0,1,TRUE)-D288*_xlfn.NORM.DIST(-K288,0,1,TRUE))</f>
        <v>3310.3479225833894</v>
      </c>
      <c r="O288" s="3" t="b">
        <f>(M288-N288)=EXP(-E288*J288)*(D288-G288)</f>
        <v>0</v>
      </c>
    </row>
    <row r="289" spans="1:15" x14ac:dyDescent="0.3">
      <c r="A289" s="1">
        <v>45987</v>
      </c>
      <c r="B289" t="s">
        <v>17</v>
      </c>
      <c r="C289">
        <v>49559.07</v>
      </c>
      <c r="D289">
        <v>60604.608099999998</v>
      </c>
      <c r="E289" s="2">
        <v>2.3636230164472114E-2</v>
      </c>
      <c r="F289" s="1">
        <v>52940</v>
      </c>
      <c r="G289">
        <v>29735.442000000003</v>
      </c>
      <c r="H289">
        <v>0.25525799999999998</v>
      </c>
      <c r="J289" s="3">
        <f>(F289-A289)/365</f>
        <v>19.049315068493151</v>
      </c>
      <c r="K289" s="3">
        <f>(LN(D289/G289)+H289^2*J289/2)/(H289*SQRT(J289))</f>
        <v>1.1961599036609689</v>
      </c>
      <c r="L289" s="3">
        <f>K289-H289*SQRT(J289)</f>
        <v>8.2073062699238752E-2</v>
      </c>
      <c r="M289" s="3">
        <f>EXP(-E289*J289)*(D289*_xlfn.NORM.DIST(K289,0,1,TRUE)-G289*_xlfn.NORM.DIST(L289,0,1,TRUE))</f>
        <v>24061.366353887257</v>
      </c>
      <c r="N289" s="3">
        <f>EXP(-E289*J289)*(G289*_xlfn.NORM.DIST(-L289,0,1,TRUE)-D289*_xlfn.NORM.DIST(-K289,0,1,TRUE))</f>
        <v>4383.3158012435051</v>
      </c>
      <c r="O289" s="3" t="b">
        <f>(M289-N289)=EXP(-E289*J289)*(D289-G289)</f>
        <v>1</v>
      </c>
    </row>
    <row r="290" spans="1:15" x14ac:dyDescent="0.3">
      <c r="A290" s="1">
        <v>45987</v>
      </c>
      <c r="B290" t="s">
        <v>17</v>
      </c>
      <c r="C290">
        <v>49559.07</v>
      </c>
      <c r="D290">
        <v>60604.608099999998</v>
      </c>
      <c r="E290" s="2">
        <v>2.3636230164472114E-2</v>
      </c>
      <c r="F290" s="1">
        <v>52940</v>
      </c>
      <c r="G290">
        <v>34691.349000000002</v>
      </c>
      <c r="H290">
        <v>0.246029</v>
      </c>
      <c r="J290" s="3">
        <f>(F290-A290)/365</f>
        <v>19.049315068493151</v>
      </c>
      <c r="K290" s="3">
        <f>(LN(D290/G290)+H290^2*J290/2)/(H290*SQRT(J290))</f>
        <v>1.0564387361494454</v>
      </c>
      <c r="L290" s="3">
        <f>K290-H290*SQRT(J290)</f>
        <v>-1.7367653444508635E-2</v>
      </c>
      <c r="M290" s="3">
        <f>EXP(-E290*J290)*(D290*_xlfn.NORM.DIST(K290,0,1,TRUE)-G290*_xlfn.NORM.DIST(L290,0,1,TRUE))</f>
        <v>22112.65278470625</v>
      </c>
      <c r="N290" s="3">
        <f>EXP(-E290*J290)*(G290*_xlfn.NORM.DIST(-L290,0,1,TRUE)-D290*_xlfn.NORM.DIST(-K290,0,1,TRUE))</f>
        <v>5593.8255218746935</v>
      </c>
      <c r="O290" s="3" t="b">
        <f>(M290-N290)=EXP(-E290*J290)*(D290-G290)</f>
        <v>1</v>
      </c>
    </row>
    <row r="291" spans="1:15" x14ac:dyDescent="0.3">
      <c r="A291" s="1">
        <v>45987</v>
      </c>
      <c r="B291" t="s">
        <v>17</v>
      </c>
      <c r="C291">
        <v>49559.07</v>
      </c>
      <c r="D291">
        <v>60604.608099999998</v>
      </c>
      <c r="E291" s="2">
        <v>2.3636230164472114E-2</v>
      </c>
      <c r="F291" s="1">
        <v>52940</v>
      </c>
      <c r="G291">
        <v>39647.256000000001</v>
      </c>
      <c r="H291">
        <v>0.23841200000000001</v>
      </c>
      <c r="J291" s="3">
        <f>(F291-A291)/365</f>
        <v>19.049315068493151</v>
      </c>
      <c r="K291" s="3">
        <f>(LN(D291/G291)+H291^2*J291/2)/(H291*SQRT(J291))</f>
        <v>0.92808865190950618</v>
      </c>
      <c r="L291" s="3">
        <f>K291-H291*SQRT(J291)</f>
        <v>-0.11247294430831278</v>
      </c>
      <c r="M291" s="3">
        <f>EXP(-E291*J291)*(D291*_xlfn.NORM.DIST(K291,0,1,TRUE)-G291*_xlfn.NORM.DIST(L291,0,1,TRUE))</f>
        <v>20302.372843353456</v>
      </c>
      <c r="N291" s="3">
        <f>EXP(-E291*J291)*(G291*_xlfn.NORM.DIST(-L291,0,1,TRUE)-D291*_xlfn.NORM.DIST(-K291,0,1,TRUE))</f>
        <v>6942.7688703340846</v>
      </c>
      <c r="O291" s="3" t="b">
        <f>(M291-N291)=EXP(-E291*J291)*(D291-G291)</f>
        <v>1</v>
      </c>
    </row>
    <row r="292" spans="1:15" x14ac:dyDescent="0.3">
      <c r="A292" s="1">
        <v>45987</v>
      </c>
      <c r="B292" t="s">
        <v>17</v>
      </c>
      <c r="C292">
        <v>49559.07</v>
      </c>
      <c r="D292">
        <v>60604.608099999998</v>
      </c>
      <c r="E292" s="2">
        <v>2.3636230164472114E-2</v>
      </c>
      <c r="F292" s="1">
        <v>52940</v>
      </c>
      <c r="G292">
        <v>44603.163</v>
      </c>
      <c r="H292">
        <v>0.23208699999999999</v>
      </c>
      <c r="J292" s="3">
        <f>(F292-A292)/365</f>
        <v>19.049315068493151</v>
      </c>
      <c r="K292" s="3">
        <f>(LN(D292/G292)+H292^2*J292/2)/(H292*SQRT(J292))</f>
        <v>0.80912304650341316</v>
      </c>
      <c r="L292" s="3">
        <f>K292-H292*SQRT(J292)</f>
        <v>-0.203832757656633</v>
      </c>
      <c r="M292" s="3">
        <f>EXP(-E292*J292)*(D292*_xlfn.NORM.DIST(K292,0,1,TRUE)-G292*_xlfn.NORM.DIST(L292,0,1,TRUE))</f>
        <v>18630.113339749096</v>
      </c>
      <c r="N292" s="3">
        <f>EXP(-E292*J292)*(G292*_xlfn.NORM.DIST(-L292,0,1,TRUE)-D292*_xlfn.NORM.DIST(-K292,0,1,TRUE))</f>
        <v>8429.7326565419189</v>
      </c>
      <c r="O292" s="3" t="b">
        <f>(M292-N292)=EXP(-E292*J292)*(D292-G292)</f>
        <v>1</v>
      </c>
    </row>
    <row r="293" spans="1:15" x14ac:dyDescent="0.3">
      <c r="A293" s="1">
        <v>45987</v>
      </c>
      <c r="B293" t="s">
        <v>17</v>
      </c>
      <c r="C293">
        <v>49559.07</v>
      </c>
      <c r="D293">
        <v>60604.608099999998</v>
      </c>
      <c r="E293" s="2">
        <v>2.3636230164472114E-2</v>
      </c>
      <c r="F293" s="1">
        <v>52940</v>
      </c>
      <c r="G293">
        <v>47081.116500000004</v>
      </c>
      <c r="H293">
        <v>0.22933600000000001</v>
      </c>
      <c r="J293" s="3">
        <f>(F293-A293)/365</f>
        <v>19.049315068493151</v>
      </c>
      <c r="K293" s="3">
        <f>(LN(D293/G293)+H293^2*J293/2)/(H293*SQRT(J293))</f>
        <v>0.75273402056017458</v>
      </c>
      <c r="L293" s="3">
        <f>K293-H293*SQRT(J293)</f>
        <v>-0.24821490076177966</v>
      </c>
      <c r="M293" s="3">
        <f>EXP(-E293*J293)*(D293*_xlfn.NORM.DIST(K293,0,1,TRUE)-G293*_xlfn.NORM.DIST(L293,0,1,TRUE))</f>
        <v>17845.186582643717</v>
      </c>
      <c r="N293" s="3">
        <f>EXP(-E293*J293)*(G293*_xlfn.NORM.DIST(-L293,0,1,TRUE)-D293*_xlfn.NORM.DIST(-K293,0,1,TRUE))</f>
        <v>9224.4175443426411</v>
      </c>
      <c r="O293" s="3" t="b">
        <f>(M293-N293)=EXP(-E293*J293)*(D293-G293)</f>
        <v>0</v>
      </c>
    </row>
    <row r="294" spans="1:15" x14ac:dyDescent="0.3">
      <c r="A294" s="1">
        <v>45987</v>
      </c>
      <c r="B294" t="s">
        <v>17</v>
      </c>
      <c r="C294">
        <v>49559.07</v>
      </c>
      <c r="D294">
        <v>60604.608099999998</v>
      </c>
      <c r="E294" s="2">
        <v>2.3636230164472114E-2</v>
      </c>
      <c r="F294" s="1">
        <v>52940</v>
      </c>
      <c r="G294">
        <v>49559.07</v>
      </c>
      <c r="H294">
        <v>0.22683</v>
      </c>
      <c r="J294" s="3">
        <f>(F294-A294)/365</f>
        <v>19.049315068493151</v>
      </c>
      <c r="K294" s="3">
        <f>(LN(D294/G294)+H294^2*J294/2)/(H294*SQRT(J294))</f>
        <v>0.69824136626823374</v>
      </c>
      <c r="L294" s="3">
        <f>K294-H294*SQRT(J294)</f>
        <v>-0.29176998748110727</v>
      </c>
      <c r="M294" s="3">
        <f>EXP(-E294*J294)*(D294*_xlfn.NORM.DIST(K294,0,1,TRUE)-G294*_xlfn.NORM.DIST(L294,0,1,TRUE))</f>
        <v>17093.970603224923</v>
      </c>
      <c r="N294" s="3">
        <f>EXP(-E294*J294)*(G294*_xlfn.NORM.DIST(-L294,0,1,TRUE)-D294*_xlfn.NORM.DIST(-K294,0,1,TRUE))</f>
        <v>10052.813209829947</v>
      </c>
      <c r="O294" s="3" t="b">
        <f>(M294-N294)=EXP(-E294*J294)*(D294-G294)</f>
        <v>1</v>
      </c>
    </row>
    <row r="295" spans="1:15" x14ac:dyDescent="0.3">
      <c r="A295" s="1">
        <v>45987</v>
      </c>
      <c r="B295" t="s">
        <v>17</v>
      </c>
      <c r="C295">
        <v>49559.07</v>
      </c>
      <c r="D295">
        <v>60604.608099999998</v>
      </c>
      <c r="E295" s="2">
        <v>2.3636230164472114E-2</v>
      </c>
      <c r="F295" s="1">
        <v>52940</v>
      </c>
      <c r="G295">
        <v>52037.023499999996</v>
      </c>
      <c r="H295">
        <v>0.224548</v>
      </c>
      <c r="J295" s="3">
        <f>(F295-A295)/365</f>
        <v>19.049315068493151</v>
      </c>
      <c r="K295" s="3">
        <f>(LN(D295/G295)+H295^2*J295/2)/(H295*SQRT(J295))</f>
        <v>0.64554355462863944</v>
      </c>
      <c r="L295" s="3">
        <f>K295-H295*SQRT(J295)</f>
        <v>-0.3345078912193834</v>
      </c>
      <c r="M295" s="3">
        <f>EXP(-E295*J295)*(D295*_xlfn.NORM.DIST(K295,0,1,TRUE)-G295*_xlfn.NORM.DIST(L295,0,1,TRUE))</f>
        <v>16375.885169201523</v>
      </c>
      <c r="N295" s="3">
        <f>EXP(-E295*J295)*(G295*_xlfn.NORM.DIST(-L295,0,1,TRUE)-D295*_xlfn.NORM.DIST(-K295,0,1,TRUE))</f>
        <v>10914.339420712638</v>
      </c>
      <c r="O295" s="3" t="b">
        <f>(M295-N295)=EXP(-E295*J295)*(D295-G295)</f>
        <v>1</v>
      </c>
    </row>
    <row r="296" spans="1:15" x14ac:dyDescent="0.3">
      <c r="A296" s="1">
        <v>45987</v>
      </c>
      <c r="B296" t="s">
        <v>17</v>
      </c>
      <c r="C296">
        <v>49559.07</v>
      </c>
      <c r="D296">
        <v>60604.608099999998</v>
      </c>
      <c r="E296" s="2">
        <v>2.3636230164472114E-2</v>
      </c>
      <c r="F296" s="1">
        <v>52940</v>
      </c>
      <c r="G296">
        <v>54514.976999999999</v>
      </c>
      <c r="H296">
        <v>0.22247400000000001</v>
      </c>
      <c r="J296" s="3">
        <f>(F296-A296)/365</f>
        <v>19.049315068493151</v>
      </c>
      <c r="K296" s="3">
        <f>(LN(D296/G296)+H296^2*J296/2)/(H296*SQRT(J296))</f>
        <v>0.59455790016545884</v>
      </c>
      <c r="L296" s="3">
        <f>K296-H296*SQRT(J296)</f>
        <v>-0.37644146461887695</v>
      </c>
      <c r="M296" s="3">
        <f>EXP(-E296*J296)*(D296*_xlfn.NORM.DIST(K296,0,1,TRUE)-G296*_xlfn.NORM.DIST(L296,0,1,TRUE))</f>
        <v>15690.395444114411</v>
      </c>
      <c r="N296" s="3">
        <f>EXP(-E296*J296)*(G296*_xlfn.NORM.DIST(-L296,0,1,TRUE)-D296*_xlfn.NORM.DIST(-K296,0,1,TRUE))</f>
        <v>11808.461340531629</v>
      </c>
      <c r="O296" s="3" t="b">
        <f>(M296-N296)=EXP(-E296*J296)*(D296-G296)</f>
        <v>1</v>
      </c>
    </row>
    <row r="297" spans="1:15" x14ac:dyDescent="0.3">
      <c r="A297" s="1">
        <v>45987</v>
      </c>
      <c r="B297" t="s">
        <v>17</v>
      </c>
      <c r="C297">
        <v>49559.07</v>
      </c>
      <c r="D297">
        <v>60604.608099999998</v>
      </c>
      <c r="E297" s="2">
        <v>2.3636230164472114E-2</v>
      </c>
      <c r="F297" s="1">
        <v>52940</v>
      </c>
      <c r="G297">
        <v>59470.884000000005</v>
      </c>
      <c r="H297">
        <v>0.218888</v>
      </c>
      <c r="J297" s="3">
        <f>(F297-A297)/365</f>
        <v>19.049315068493151</v>
      </c>
      <c r="K297" s="3">
        <f>(LN(D297/G297)+H297^2*J297/2)/(H297*SQRT(J297))</f>
        <v>0.49744074495104651</v>
      </c>
      <c r="L297" s="3">
        <f>K297-H297*SQRT(J297)</f>
        <v>-0.45790733598836075</v>
      </c>
      <c r="M297" s="3">
        <f>EXP(-E297*J297)*(D297*_xlfn.NORM.DIST(K297,0,1,TRUE)-G297*_xlfn.NORM.DIST(L297,0,1,TRUE))</f>
        <v>14414.241976544223</v>
      </c>
      <c r="N297" s="3">
        <f>EXP(-E297*J297)*(G297*_xlfn.NORM.DIST(-L297,0,1,TRUE)-D297*_xlfn.NORM.DIST(-K297,0,1,TRUE))</f>
        <v>13691.531162773637</v>
      </c>
      <c r="O297" s="3" t="b">
        <f>(M297-N297)=EXP(-E297*J297)*(D297-G297)</f>
        <v>0</v>
      </c>
    </row>
    <row r="298" spans="1:15" x14ac:dyDescent="0.3">
      <c r="A298" s="1">
        <v>45987</v>
      </c>
      <c r="B298" t="s">
        <v>17</v>
      </c>
      <c r="C298">
        <v>49559.07</v>
      </c>
      <c r="D298">
        <v>60604.608099999998</v>
      </c>
      <c r="E298" s="2">
        <v>2.3636230164472114E-2</v>
      </c>
      <c r="F298" s="1">
        <v>52940</v>
      </c>
      <c r="G298">
        <v>64426.790999999997</v>
      </c>
      <c r="H298">
        <v>0.21596599999999999</v>
      </c>
      <c r="J298" s="3">
        <f>(F298-A298)/365</f>
        <v>19.049315068493151</v>
      </c>
      <c r="K298" s="3">
        <f>(LN(D298/G298)+H298^2*J298/2)/(H298*SQRT(J298))</f>
        <v>0.4064141728961117</v>
      </c>
      <c r="L298" s="3">
        <f>K298-H298*SQRT(J298)</f>
        <v>-0.53618068679542008</v>
      </c>
      <c r="M298" s="3">
        <f>EXP(-E298*J298)*(D298*_xlfn.NORM.DIST(K298,0,1,TRUE)-G298*_xlfn.NORM.DIST(L298,0,1,TRUE))</f>
        <v>13259.028310580969</v>
      </c>
      <c r="N298" s="3">
        <f>EXP(-E298*J298)*(G298*_xlfn.NORM.DIST(-L298,0,1,TRUE)-D298*_xlfn.NORM.DIST(-K298,0,1,TRUE))</f>
        <v>15695.540786622574</v>
      </c>
      <c r="O298" s="3" t="b">
        <f>(M298-N298)=EXP(-E298*J298)*(D298-G298)</f>
        <v>0</v>
      </c>
    </row>
    <row r="299" spans="1:15" x14ac:dyDescent="0.3">
      <c r="A299" s="1">
        <v>45987</v>
      </c>
      <c r="B299" t="s">
        <v>17</v>
      </c>
      <c r="C299">
        <v>49559.07</v>
      </c>
      <c r="D299">
        <v>60604.608099999998</v>
      </c>
      <c r="E299" s="2">
        <v>2.3636230164472114E-2</v>
      </c>
      <c r="F299" s="1">
        <v>52940</v>
      </c>
      <c r="G299">
        <v>69382.698000000004</v>
      </c>
      <c r="H299">
        <v>0.213617</v>
      </c>
      <c r="J299" s="3">
        <f>(F299-A299)/365</f>
        <v>19.049315068493151</v>
      </c>
      <c r="K299" s="3">
        <f>(LN(D299/G299)+H299^2*J299/2)/(H299*SQRT(J299))</f>
        <v>0.32108875053937158</v>
      </c>
      <c r="L299" s="3">
        <f>K299-H299*SQRT(J299)</f>
        <v>-0.61125377625987443</v>
      </c>
      <c r="M299" s="3">
        <f>EXP(-E299*J299)*(D299*_xlfn.NORM.DIST(K299,0,1,TRUE)-G299*_xlfn.NORM.DIST(L299,0,1,TRUE))</f>
        <v>12217.060292166263</v>
      </c>
      <c r="N299" s="3">
        <f>EXP(-E299*J299)*(G299*_xlfn.NORM.DIST(-L299,0,1,TRUE)-D299*_xlfn.NORM.DIST(-K299,0,1,TRUE))</f>
        <v>17812.796058020063</v>
      </c>
      <c r="O299" s="3" t="b">
        <f>(M299-N299)=EXP(-E299*J299)*(D299-G299)</f>
        <v>1</v>
      </c>
    </row>
    <row r="300" spans="1:15" x14ac:dyDescent="0.3">
      <c r="A300" s="1">
        <v>45987</v>
      </c>
      <c r="B300" t="s">
        <v>17</v>
      </c>
      <c r="C300">
        <v>49559.07</v>
      </c>
      <c r="D300">
        <v>60604.608099999998</v>
      </c>
      <c r="E300" s="2">
        <v>2.3636230164472114E-2</v>
      </c>
      <c r="F300" s="1">
        <v>52940</v>
      </c>
      <c r="G300">
        <v>74338.604999999996</v>
      </c>
      <c r="H300">
        <v>0.21176500000000001</v>
      </c>
      <c r="J300" s="3">
        <f>(F300-A300)/365</f>
        <v>19.049315068493151</v>
      </c>
      <c r="K300" s="3">
        <f>(LN(D300/G300)+H300^2*J300/2)/(H300*SQRT(J300))</f>
        <v>0.24113169412656116</v>
      </c>
      <c r="L300" s="3">
        <f>K300-H300*SQRT(J300)</f>
        <v>-0.68312768217608477</v>
      </c>
      <c r="M300" s="3">
        <f>EXP(-E300*J300)*(D300*_xlfn.NORM.DIST(K300,0,1,TRUE)-G300*_xlfn.NORM.DIST(L300,0,1,TRUE))</f>
        <v>11280.043183055106</v>
      </c>
      <c r="N300" s="3">
        <f>EXP(-E300*J300)*(G300*_xlfn.NORM.DIST(-L300,0,1,TRUE)-D300*_xlfn.NORM.DIST(-K300,0,1,TRUE))</f>
        <v>20035.002238721096</v>
      </c>
      <c r="O300" s="3" t="b">
        <f>(M300-N300)=EXP(-E300*J300)*(D300-G300)</f>
        <v>1</v>
      </c>
    </row>
    <row r="301" spans="1:15" x14ac:dyDescent="0.3">
      <c r="E301" s="2" t="e">
        <v>#N/A</v>
      </c>
      <c r="J301" s="3">
        <f>(F301-A301)/365</f>
        <v>0</v>
      </c>
      <c r="K301" s="3" t="e">
        <f>(LN(D301/G301)+H301^2*J301/2)/(H301*SQRT(J301))</f>
        <v>#DIV/0!</v>
      </c>
      <c r="L301" s="3" t="e">
        <f>K301-H301*SQRT(J301)</f>
        <v>#DIV/0!</v>
      </c>
      <c r="M301" s="3" t="e">
        <f>EXP(-E301*J301)*(D301*_xlfn.NORM.DIST(K301,0,1,TRUE)-G301*_xlfn.NORM.DIST(L301,0,1,TRUE))</f>
        <v>#N/A</v>
      </c>
      <c r="N301" s="3" t="e">
        <f>EXP(-E301*J301)*(G301*_xlfn.NORM.DIST(-L301,0,1,TRUE)-D301*_xlfn.NORM.DIST(-K301,0,1,TRUE))</f>
        <v>#N/A</v>
      </c>
      <c r="O301" s="3" t="e">
        <f>(M301-N301)=EXP(-E301*J301)*(D301-G301)</f>
        <v>#N/A</v>
      </c>
    </row>
    <row r="302" spans="1:15" x14ac:dyDescent="0.3">
      <c r="E302" s="2" t="e">
        <v>#N/A</v>
      </c>
      <c r="J302" s="3">
        <f>(F302-A302)/365</f>
        <v>0</v>
      </c>
      <c r="K302" s="3" t="e">
        <f>(LN(D302/G302)+H302^2*J302/2)/(H302*SQRT(J302))</f>
        <v>#DIV/0!</v>
      </c>
      <c r="L302" s="3" t="e">
        <f>K302-H302*SQRT(J302)</f>
        <v>#DIV/0!</v>
      </c>
      <c r="M302" s="3" t="e">
        <f>EXP(-E302*J302)*(D302*_xlfn.NORM.DIST(K302,0,1,TRUE)-G302*_xlfn.NORM.DIST(L302,0,1,TRUE))</f>
        <v>#N/A</v>
      </c>
      <c r="N302" s="3" t="e">
        <f>EXP(-E302*J302)*(G302*_xlfn.NORM.DIST(-L302,0,1,TRUE)-D302*_xlfn.NORM.DIST(-K302,0,1,TRUE))</f>
        <v>#N/A</v>
      </c>
      <c r="O302" s="3" t="e">
        <f>(M302-N302)=EXP(-E302*J302)*(D302-G302)</f>
        <v>#N/A</v>
      </c>
    </row>
    <row r="303" spans="1:15" x14ac:dyDescent="0.3">
      <c r="E303" s="2" t="e">
        <v>#N/A</v>
      </c>
      <c r="J303" s="3">
        <f>(F303-A303)/365</f>
        <v>0</v>
      </c>
      <c r="K303" s="3" t="e">
        <f>(LN(D303/G303)+H303^2*J303/2)/(H303*SQRT(J303))</f>
        <v>#DIV/0!</v>
      </c>
      <c r="L303" s="3" t="e">
        <f>K303-H303*SQRT(J303)</f>
        <v>#DIV/0!</v>
      </c>
      <c r="M303" s="3" t="e">
        <f>EXP(-E303*J303)*(D303*_xlfn.NORM.DIST(K303,0,1,TRUE)-G303*_xlfn.NORM.DIST(L303,0,1,TRUE))</f>
        <v>#N/A</v>
      </c>
      <c r="N303" s="3" t="e">
        <f>EXP(-E303*J303)*(G303*_xlfn.NORM.DIST(-L303,0,1,TRUE)-D303*_xlfn.NORM.DIST(-K303,0,1,TRUE))</f>
        <v>#N/A</v>
      </c>
      <c r="O303" s="3" t="e">
        <f>(M303-N303)=EXP(-E303*J303)*(D303-G303)</f>
        <v>#N/A</v>
      </c>
    </row>
    <row r="304" spans="1:15" x14ac:dyDescent="0.3">
      <c r="E304" s="2" t="e">
        <v>#N/A</v>
      </c>
      <c r="J304" s="3">
        <f>(F304-A304)/365</f>
        <v>0</v>
      </c>
      <c r="K304" s="3" t="e">
        <f>(LN(D304/G304)+H304^2*J304/2)/(H304*SQRT(J304))</f>
        <v>#DIV/0!</v>
      </c>
      <c r="L304" s="3" t="e">
        <f>K304-H304*SQRT(J304)</f>
        <v>#DIV/0!</v>
      </c>
      <c r="M304" s="3" t="e">
        <f>EXP(-E304*J304)*(D304*_xlfn.NORM.DIST(K304,0,1,TRUE)-G304*_xlfn.NORM.DIST(L304,0,1,TRUE))</f>
        <v>#N/A</v>
      </c>
      <c r="N304" s="3" t="e">
        <f>EXP(-E304*J304)*(G304*_xlfn.NORM.DIST(-L304,0,1,TRUE)-D304*_xlfn.NORM.DIST(-K304,0,1,TRUE))</f>
        <v>#N/A</v>
      </c>
      <c r="O304" s="3" t="e">
        <f>(M304-N304)=EXP(-E304*J304)*(D304-G304)</f>
        <v>#N/A</v>
      </c>
    </row>
    <row r="305" spans="5:15" x14ac:dyDescent="0.3">
      <c r="E305" s="2" t="e">
        <v>#N/A</v>
      </c>
      <c r="J305" s="3">
        <f>(F305-A305)/365</f>
        <v>0</v>
      </c>
      <c r="K305" s="3" t="e">
        <f>(LN(D305/G305)+H305^2*J305/2)/(H305*SQRT(J305))</f>
        <v>#DIV/0!</v>
      </c>
      <c r="L305" s="3" t="e">
        <f>K305-H305*SQRT(J305)</f>
        <v>#DIV/0!</v>
      </c>
      <c r="M305" s="3" t="e">
        <f>EXP(-E305*J305)*(D305*_xlfn.NORM.DIST(K305,0,1,TRUE)-G305*_xlfn.NORM.DIST(L305,0,1,TRUE))</f>
        <v>#N/A</v>
      </c>
      <c r="N305" s="3" t="e">
        <f>EXP(-E305*J305)*(G305*_xlfn.NORM.DIST(-L305,0,1,TRUE)-D305*_xlfn.NORM.DIST(-K305,0,1,TRUE))</f>
        <v>#N/A</v>
      </c>
      <c r="O305" s="3" t="e">
        <f>(M305-N305)=EXP(-E305*J305)*(D305-G305)</f>
        <v>#N/A</v>
      </c>
    </row>
    <row r="306" spans="5:15" x14ac:dyDescent="0.3">
      <c r="E306" s="2" t="e">
        <v>#N/A</v>
      </c>
      <c r="J306" s="3">
        <f>(F306-A306)/365</f>
        <v>0</v>
      </c>
      <c r="K306" s="3" t="e">
        <f>(LN(D306/G306)+H306^2*J306/2)/(H306*SQRT(J306))</f>
        <v>#DIV/0!</v>
      </c>
      <c r="L306" s="3" t="e">
        <f>K306-H306*SQRT(J306)</f>
        <v>#DIV/0!</v>
      </c>
      <c r="M306" s="3" t="e">
        <f>EXP(-E306*J306)*(D306*_xlfn.NORM.DIST(K306,0,1,TRUE)-G306*_xlfn.NORM.DIST(L306,0,1,TRUE))</f>
        <v>#N/A</v>
      </c>
      <c r="N306" s="3" t="e">
        <f>EXP(-E306*J306)*(G306*_xlfn.NORM.DIST(-L306,0,1,TRUE)-D306*_xlfn.NORM.DIST(-K306,0,1,TRUE))</f>
        <v>#N/A</v>
      </c>
      <c r="O306" s="3" t="e">
        <f>(M306-N306)=EXP(-E306*J306)*(D306-G306)</f>
        <v>#N/A</v>
      </c>
    </row>
    <row r="307" spans="5:15" x14ac:dyDescent="0.3">
      <c r="E307" s="2" t="e">
        <v>#N/A</v>
      </c>
      <c r="J307" s="3">
        <f>(F307-A307)/365</f>
        <v>0</v>
      </c>
      <c r="K307" s="3" t="e">
        <f>(LN(D307/G307)+H307^2*J307/2)/(H307*SQRT(J307))</f>
        <v>#DIV/0!</v>
      </c>
      <c r="L307" s="3" t="e">
        <f>K307-H307*SQRT(J307)</f>
        <v>#DIV/0!</v>
      </c>
      <c r="M307" s="3" t="e">
        <f>EXP(-E307*J307)*(D307*_xlfn.NORM.DIST(K307,0,1,TRUE)-G307*_xlfn.NORM.DIST(L307,0,1,TRUE))</f>
        <v>#N/A</v>
      </c>
      <c r="N307" s="3" t="e">
        <f>EXP(-E307*J307)*(G307*_xlfn.NORM.DIST(-L307,0,1,TRUE)-D307*_xlfn.NORM.DIST(-K307,0,1,TRUE))</f>
        <v>#N/A</v>
      </c>
      <c r="O307" s="3" t="e">
        <f>(M307-N307)=EXP(-E307*J307)*(D307-G307)</f>
        <v>#N/A</v>
      </c>
    </row>
    <row r="308" spans="5:15" x14ac:dyDescent="0.3">
      <c r="E308" s="2" t="e">
        <v>#N/A</v>
      </c>
      <c r="J308" s="3">
        <f>(F308-A308)/365</f>
        <v>0</v>
      </c>
      <c r="K308" s="3" t="e">
        <f>(LN(D308/G308)+H308^2*J308/2)/(H308*SQRT(J308))</f>
        <v>#DIV/0!</v>
      </c>
      <c r="L308" s="3" t="e">
        <f>K308-H308*SQRT(J308)</f>
        <v>#DIV/0!</v>
      </c>
      <c r="M308" s="3" t="e">
        <f>EXP(-E308*J308)*(D308*_xlfn.NORM.DIST(K308,0,1,TRUE)-G308*_xlfn.NORM.DIST(L308,0,1,TRUE))</f>
        <v>#N/A</v>
      </c>
      <c r="N308" s="3" t="e">
        <f>EXP(-E308*J308)*(G308*_xlfn.NORM.DIST(-L308,0,1,TRUE)-D308*_xlfn.NORM.DIST(-K308,0,1,TRUE))</f>
        <v>#N/A</v>
      </c>
      <c r="O308" s="3" t="e">
        <f>(M308-N308)=EXP(-E308*J308)*(D308-G308)</f>
        <v>#N/A</v>
      </c>
    </row>
    <row r="309" spans="5:15" x14ac:dyDescent="0.3">
      <c r="E309" s="2" t="e">
        <v>#N/A</v>
      </c>
      <c r="J309" s="3">
        <f>(F309-A309)/365</f>
        <v>0</v>
      </c>
      <c r="K309" s="3" t="e">
        <f>(LN(D309/G309)+H309^2*J309/2)/(H309*SQRT(J309))</f>
        <v>#DIV/0!</v>
      </c>
      <c r="L309" s="3" t="e">
        <f>K309-H309*SQRT(J309)</f>
        <v>#DIV/0!</v>
      </c>
      <c r="M309" s="3" t="e">
        <f>EXP(-E309*J309)*(D309*_xlfn.NORM.DIST(K309,0,1,TRUE)-G309*_xlfn.NORM.DIST(L309,0,1,TRUE))</f>
        <v>#N/A</v>
      </c>
      <c r="N309" s="3" t="e">
        <f>EXP(-E309*J309)*(G309*_xlfn.NORM.DIST(-L309,0,1,TRUE)-D309*_xlfn.NORM.DIST(-K309,0,1,TRUE))</f>
        <v>#N/A</v>
      </c>
      <c r="O309" s="3" t="e">
        <f>(M309-N309)=EXP(-E309*J309)*(D309-G309)</f>
        <v>#N/A</v>
      </c>
    </row>
    <row r="310" spans="5:15" x14ac:dyDescent="0.3">
      <c r="E310" s="2" t="e">
        <v>#N/A</v>
      </c>
      <c r="J310" s="3">
        <f>(F310-A310)/365</f>
        <v>0</v>
      </c>
      <c r="K310" s="3" t="e">
        <f>(LN(D310/G310)+H310^2*J310/2)/(H310*SQRT(J310))</f>
        <v>#DIV/0!</v>
      </c>
      <c r="L310" s="3" t="e">
        <f>K310-H310*SQRT(J310)</f>
        <v>#DIV/0!</v>
      </c>
      <c r="M310" s="3" t="e">
        <f>EXP(-E310*J310)*(D310*_xlfn.NORM.DIST(K310,0,1,TRUE)-G310*_xlfn.NORM.DIST(L310,0,1,TRUE))</f>
        <v>#N/A</v>
      </c>
      <c r="N310" s="3" t="e">
        <f>EXP(-E310*J310)*(G310*_xlfn.NORM.DIST(-L310,0,1,TRUE)-D310*_xlfn.NORM.DIST(-K310,0,1,TRUE))</f>
        <v>#N/A</v>
      </c>
      <c r="O310" s="3" t="e">
        <f>(M310-N310)=EXP(-E310*J310)*(D310-G310)</f>
        <v>#N/A</v>
      </c>
    </row>
    <row r="311" spans="5:15" x14ac:dyDescent="0.3">
      <c r="E311" s="2" t="e">
        <v>#N/A</v>
      </c>
      <c r="J311" s="3">
        <f>(F311-A311)/365</f>
        <v>0</v>
      </c>
      <c r="K311" s="3" t="e">
        <f>(LN(D311/G311)+H311^2*J311/2)/(H311*SQRT(J311))</f>
        <v>#DIV/0!</v>
      </c>
      <c r="L311" s="3" t="e">
        <f>K311-H311*SQRT(J311)</f>
        <v>#DIV/0!</v>
      </c>
      <c r="M311" s="3" t="e">
        <f>EXP(-E311*J311)*(D311*_xlfn.NORM.DIST(K311,0,1,TRUE)-G311*_xlfn.NORM.DIST(L311,0,1,TRUE))</f>
        <v>#N/A</v>
      </c>
      <c r="N311" s="3" t="e">
        <f>EXP(-E311*J311)*(G311*_xlfn.NORM.DIST(-L311,0,1,TRUE)-D311*_xlfn.NORM.DIST(-K311,0,1,TRUE))</f>
        <v>#N/A</v>
      </c>
      <c r="O311" s="3" t="e">
        <f>(M311-N311)=EXP(-E311*J311)*(D311-G311)</f>
        <v>#N/A</v>
      </c>
    </row>
    <row r="312" spans="5:15" x14ac:dyDescent="0.3">
      <c r="E312" s="2" t="e">
        <v>#N/A</v>
      </c>
      <c r="J312" s="3">
        <f>(F312-A312)/365</f>
        <v>0</v>
      </c>
      <c r="K312" s="3" t="e">
        <f>(LN(D312/G312)+H312^2*J312/2)/(H312*SQRT(J312))</f>
        <v>#DIV/0!</v>
      </c>
      <c r="L312" s="3" t="e">
        <f>K312-H312*SQRT(J312)</f>
        <v>#DIV/0!</v>
      </c>
      <c r="M312" s="3" t="e">
        <f>EXP(-E312*J312)*(D312*_xlfn.NORM.DIST(K312,0,1,TRUE)-G312*_xlfn.NORM.DIST(L312,0,1,TRUE))</f>
        <v>#N/A</v>
      </c>
      <c r="N312" s="3" t="e">
        <f>EXP(-E312*J312)*(G312*_xlfn.NORM.DIST(-L312,0,1,TRUE)-D312*_xlfn.NORM.DIST(-K312,0,1,TRUE))</f>
        <v>#N/A</v>
      </c>
      <c r="O312" s="3" t="e">
        <f>(M312-N312)=EXP(-E312*J312)*(D312-G312)</f>
        <v>#N/A</v>
      </c>
    </row>
    <row r="313" spans="5:15" x14ac:dyDescent="0.3">
      <c r="E313" s="2" t="e">
        <v>#N/A</v>
      </c>
      <c r="J313" s="3">
        <f>(F313-A313)/365</f>
        <v>0</v>
      </c>
      <c r="K313" s="3" t="e">
        <f>(LN(D313/G313)+H313^2*J313/2)/(H313*SQRT(J313))</f>
        <v>#DIV/0!</v>
      </c>
      <c r="L313" s="3" t="e">
        <f>K313-H313*SQRT(J313)</f>
        <v>#DIV/0!</v>
      </c>
      <c r="M313" s="3" t="e">
        <f>EXP(-E313*J313)*(D313*_xlfn.NORM.DIST(K313,0,1,TRUE)-G313*_xlfn.NORM.DIST(L313,0,1,TRUE))</f>
        <v>#N/A</v>
      </c>
      <c r="N313" s="3" t="e">
        <f>EXP(-E313*J313)*(G313*_xlfn.NORM.DIST(-L313,0,1,TRUE)-D313*_xlfn.NORM.DIST(-K313,0,1,TRUE))</f>
        <v>#N/A</v>
      </c>
      <c r="O313" s="3" t="e">
        <f>(M313-N313)=EXP(-E313*J313)*(D313-G313)</f>
        <v>#N/A</v>
      </c>
    </row>
    <row r="314" spans="5:15" x14ac:dyDescent="0.3">
      <c r="E314" s="2" t="e">
        <v>#N/A</v>
      </c>
      <c r="J314" s="3">
        <f>(F314-A314)/365</f>
        <v>0</v>
      </c>
      <c r="K314" s="3" t="e">
        <f>(LN(D314/G314)+H314^2*J314/2)/(H314*SQRT(J314))</f>
        <v>#DIV/0!</v>
      </c>
      <c r="L314" s="3" t="e">
        <f>K314-H314*SQRT(J314)</f>
        <v>#DIV/0!</v>
      </c>
      <c r="M314" s="3" t="e">
        <f>EXP(-E314*J314)*(D314*_xlfn.NORM.DIST(K314,0,1,TRUE)-G314*_xlfn.NORM.DIST(L314,0,1,TRUE))</f>
        <v>#N/A</v>
      </c>
      <c r="N314" s="3" t="e">
        <f>EXP(-E314*J314)*(G314*_xlfn.NORM.DIST(-L314,0,1,TRUE)-D314*_xlfn.NORM.DIST(-K314,0,1,TRUE))</f>
        <v>#N/A</v>
      </c>
      <c r="O314" s="3" t="e">
        <f>(M314-N314)=EXP(-E314*J314)*(D314-G314)</f>
        <v>#N/A</v>
      </c>
    </row>
    <row r="315" spans="5:15" x14ac:dyDescent="0.3">
      <c r="E315" s="2" t="e">
        <v>#N/A</v>
      </c>
      <c r="J315" s="3">
        <f>(F315-A315)/365</f>
        <v>0</v>
      </c>
      <c r="K315" s="3" t="e">
        <f>(LN(D315/G315)+H315^2*J315/2)/(H315*SQRT(J315))</f>
        <v>#DIV/0!</v>
      </c>
      <c r="L315" s="3" t="e">
        <f>K315-H315*SQRT(J315)</f>
        <v>#DIV/0!</v>
      </c>
      <c r="M315" s="3" t="e">
        <f>EXP(-E315*J315)*(D315*_xlfn.NORM.DIST(K315,0,1,TRUE)-G315*_xlfn.NORM.DIST(L315,0,1,TRUE))</f>
        <v>#N/A</v>
      </c>
      <c r="N315" s="3" t="e">
        <f>EXP(-E315*J315)*(G315*_xlfn.NORM.DIST(-L315,0,1,TRUE)-D315*_xlfn.NORM.DIST(-K315,0,1,TRUE))</f>
        <v>#N/A</v>
      </c>
      <c r="O315" s="3" t="e">
        <f>(M315-N315)=EXP(-E315*J315)*(D315-G315)</f>
        <v>#N/A</v>
      </c>
    </row>
    <row r="316" spans="5:15" x14ac:dyDescent="0.3">
      <c r="E316" s="2" t="e">
        <v>#N/A</v>
      </c>
      <c r="J316" s="3">
        <f>(F316-A316)/365</f>
        <v>0</v>
      </c>
      <c r="K316" s="3" t="e">
        <f>(LN(D316/G316)+H316^2*J316/2)/(H316*SQRT(J316))</f>
        <v>#DIV/0!</v>
      </c>
      <c r="L316" s="3" t="e">
        <f>K316-H316*SQRT(J316)</f>
        <v>#DIV/0!</v>
      </c>
      <c r="M316" s="3" t="e">
        <f>EXP(-E316*J316)*(D316*_xlfn.NORM.DIST(K316,0,1,TRUE)-G316*_xlfn.NORM.DIST(L316,0,1,TRUE))</f>
        <v>#N/A</v>
      </c>
      <c r="N316" s="3" t="e">
        <f>EXP(-E316*J316)*(G316*_xlfn.NORM.DIST(-L316,0,1,TRUE)-D316*_xlfn.NORM.DIST(-K316,0,1,TRUE))</f>
        <v>#N/A</v>
      </c>
      <c r="O316" s="3" t="e">
        <f>(M316-N316)=EXP(-E316*J316)*(D316-G316)</f>
        <v>#N/A</v>
      </c>
    </row>
    <row r="317" spans="5:15" x14ac:dyDescent="0.3">
      <c r="E317" s="2" t="e">
        <v>#N/A</v>
      </c>
      <c r="J317" s="3">
        <f>(F317-A317)/365</f>
        <v>0</v>
      </c>
      <c r="K317" s="3" t="e">
        <f>(LN(D317/G317)+H317^2*J317/2)/(H317*SQRT(J317))</f>
        <v>#DIV/0!</v>
      </c>
      <c r="L317" s="3" t="e">
        <f>K317-H317*SQRT(J317)</f>
        <v>#DIV/0!</v>
      </c>
      <c r="M317" s="3" t="e">
        <f>EXP(-E317*J317)*(D317*_xlfn.NORM.DIST(K317,0,1,TRUE)-G317*_xlfn.NORM.DIST(L317,0,1,TRUE))</f>
        <v>#N/A</v>
      </c>
      <c r="N317" s="3" t="e">
        <f>EXP(-E317*J317)*(G317*_xlfn.NORM.DIST(-L317,0,1,TRUE)-D317*_xlfn.NORM.DIST(-K317,0,1,TRUE))</f>
        <v>#N/A</v>
      </c>
      <c r="O317" s="3" t="e">
        <f>(M317-N317)=EXP(-E317*J317)*(D317-G317)</f>
        <v>#N/A</v>
      </c>
    </row>
    <row r="318" spans="5:15" x14ac:dyDescent="0.3">
      <c r="E318" s="2" t="e">
        <v>#N/A</v>
      </c>
      <c r="J318" s="3">
        <f>(F318-A318)/365</f>
        <v>0</v>
      </c>
      <c r="K318" s="3" t="e">
        <f>(LN(D318/G318)+H318^2*J318/2)/(H318*SQRT(J318))</f>
        <v>#DIV/0!</v>
      </c>
      <c r="L318" s="3" t="e">
        <f>K318-H318*SQRT(J318)</f>
        <v>#DIV/0!</v>
      </c>
      <c r="M318" s="3" t="e">
        <f>EXP(-E318*J318)*(D318*_xlfn.NORM.DIST(K318,0,1,TRUE)-G318*_xlfn.NORM.DIST(L318,0,1,TRUE))</f>
        <v>#N/A</v>
      </c>
      <c r="N318" s="3" t="e">
        <f>EXP(-E318*J318)*(G318*_xlfn.NORM.DIST(-L318,0,1,TRUE)-D318*_xlfn.NORM.DIST(-K318,0,1,TRUE))</f>
        <v>#N/A</v>
      </c>
      <c r="O318" s="3" t="e">
        <f>(M318-N318)=EXP(-E318*J318)*(D318-G318)</f>
        <v>#N/A</v>
      </c>
    </row>
    <row r="319" spans="5:15" x14ac:dyDescent="0.3">
      <c r="E319" s="2" t="e">
        <v>#N/A</v>
      </c>
      <c r="J319" s="3">
        <f>(F319-A319)/365</f>
        <v>0</v>
      </c>
      <c r="K319" s="3" t="e">
        <f>(LN(D319/G319)+H319^2*J319/2)/(H319*SQRT(J319))</f>
        <v>#DIV/0!</v>
      </c>
      <c r="L319" s="3" t="e">
        <f>K319-H319*SQRT(J319)</f>
        <v>#DIV/0!</v>
      </c>
      <c r="M319" s="3" t="e">
        <f>EXP(-E319*J319)*(D319*_xlfn.NORM.DIST(K319,0,1,TRUE)-G319*_xlfn.NORM.DIST(L319,0,1,TRUE))</f>
        <v>#N/A</v>
      </c>
      <c r="N319" s="3" t="e">
        <f>EXP(-E319*J319)*(G319*_xlfn.NORM.DIST(-L319,0,1,TRUE)-D319*_xlfn.NORM.DIST(-K319,0,1,TRUE))</f>
        <v>#N/A</v>
      </c>
      <c r="O319" s="3" t="e">
        <f>(M319-N319)=EXP(-E319*J319)*(D319-G319)</f>
        <v>#N/A</v>
      </c>
    </row>
    <row r="320" spans="5:15" x14ac:dyDescent="0.3">
      <c r="E320" s="2" t="e">
        <v>#N/A</v>
      </c>
      <c r="J320" s="3">
        <f>(F320-A320)/365</f>
        <v>0</v>
      </c>
      <c r="K320" s="3" t="e">
        <f>(LN(D320/G320)+H320^2*J320/2)/(H320*SQRT(J320))</f>
        <v>#DIV/0!</v>
      </c>
      <c r="L320" s="3" t="e">
        <f>K320-H320*SQRT(J320)</f>
        <v>#DIV/0!</v>
      </c>
      <c r="M320" s="3" t="e">
        <f>EXP(-E320*J320)*(D320*_xlfn.NORM.DIST(K320,0,1,TRUE)-G320*_xlfn.NORM.DIST(L320,0,1,TRUE))</f>
        <v>#N/A</v>
      </c>
      <c r="N320" s="3" t="e">
        <f>EXP(-E320*J320)*(G320*_xlfn.NORM.DIST(-L320,0,1,TRUE)-D320*_xlfn.NORM.DIST(-K320,0,1,TRUE))</f>
        <v>#N/A</v>
      </c>
      <c r="O320" s="3" t="e">
        <f>(M320-N320)=EXP(-E320*J320)*(D320-G320)</f>
        <v>#N/A</v>
      </c>
    </row>
    <row r="321" spans="5:15" x14ac:dyDescent="0.3">
      <c r="E321" s="2" t="e">
        <v>#N/A</v>
      </c>
      <c r="J321" s="3">
        <f>(F321-A321)/365</f>
        <v>0</v>
      </c>
      <c r="K321" s="3" t="e">
        <f>(LN(D321/G321)+H321^2*J321/2)/(H321*SQRT(J321))</f>
        <v>#DIV/0!</v>
      </c>
      <c r="L321" s="3" t="e">
        <f>K321-H321*SQRT(J321)</f>
        <v>#DIV/0!</v>
      </c>
      <c r="M321" s="3" t="e">
        <f>EXP(-E321*J321)*(D321*_xlfn.NORM.DIST(K321,0,1,TRUE)-G321*_xlfn.NORM.DIST(L321,0,1,TRUE))</f>
        <v>#N/A</v>
      </c>
      <c r="N321" s="3" t="e">
        <f>EXP(-E321*J321)*(G321*_xlfn.NORM.DIST(-L321,0,1,TRUE)-D321*_xlfn.NORM.DIST(-K321,0,1,TRUE))</f>
        <v>#N/A</v>
      </c>
      <c r="O321" s="3" t="e">
        <f>(M321-N321)=EXP(-E321*J321)*(D321-G321)</f>
        <v>#N/A</v>
      </c>
    </row>
    <row r="322" spans="5:15" x14ac:dyDescent="0.3">
      <c r="E322" s="2" t="e">
        <v>#N/A</v>
      </c>
      <c r="J322" s="3">
        <f>(F322-A322)/365</f>
        <v>0</v>
      </c>
      <c r="K322" s="3" t="e">
        <f>(LN(D322/G322)+H322^2*J322/2)/(H322*SQRT(J322))</f>
        <v>#DIV/0!</v>
      </c>
      <c r="L322" s="3" t="e">
        <f>K322-H322*SQRT(J322)</f>
        <v>#DIV/0!</v>
      </c>
      <c r="M322" s="3" t="e">
        <f>EXP(-E322*J322)*(D322*_xlfn.NORM.DIST(K322,0,1,TRUE)-G322*_xlfn.NORM.DIST(L322,0,1,TRUE))</f>
        <v>#N/A</v>
      </c>
      <c r="N322" s="3" t="e">
        <f>EXP(-E322*J322)*(G322*_xlfn.NORM.DIST(-L322,0,1,TRUE)-D322*_xlfn.NORM.DIST(-K322,0,1,TRUE))</f>
        <v>#N/A</v>
      </c>
      <c r="O322" s="3" t="e">
        <f>(M322-N322)=EXP(-E322*J322)*(D322-G322)</f>
        <v>#N/A</v>
      </c>
    </row>
    <row r="323" spans="5:15" x14ac:dyDescent="0.3">
      <c r="E323" s="2" t="e">
        <v>#N/A</v>
      </c>
      <c r="J323" s="3">
        <f>(F323-A323)/365</f>
        <v>0</v>
      </c>
      <c r="K323" s="3" t="e">
        <f>(LN(D323/G323)+H323^2*J323/2)/(H323*SQRT(J323))</f>
        <v>#DIV/0!</v>
      </c>
      <c r="L323" s="3" t="e">
        <f>K323-H323*SQRT(J323)</f>
        <v>#DIV/0!</v>
      </c>
      <c r="M323" s="3" t="e">
        <f>EXP(-E323*J323)*(D323*_xlfn.NORM.DIST(K323,0,1,TRUE)-G323*_xlfn.NORM.DIST(L323,0,1,TRUE))</f>
        <v>#N/A</v>
      </c>
      <c r="N323" s="3" t="e">
        <f>EXP(-E323*J323)*(G323*_xlfn.NORM.DIST(-L323,0,1,TRUE)-D323*_xlfn.NORM.DIST(-K323,0,1,TRUE))</f>
        <v>#N/A</v>
      </c>
      <c r="O323" s="3" t="e">
        <f>(M323-N323)=EXP(-E323*J323)*(D323-G323)</f>
        <v>#N/A</v>
      </c>
    </row>
    <row r="324" spans="5:15" x14ac:dyDescent="0.3">
      <c r="E324" s="2" t="e">
        <v>#N/A</v>
      </c>
      <c r="J324" s="3">
        <f>(F324-A324)/365</f>
        <v>0</v>
      </c>
      <c r="K324" s="3" t="e">
        <f>(LN(D324/G324)+H324^2*J324/2)/(H324*SQRT(J324))</f>
        <v>#DIV/0!</v>
      </c>
      <c r="L324" s="3" t="e">
        <f>K324-H324*SQRT(J324)</f>
        <v>#DIV/0!</v>
      </c>
      <c r="M324" s="3" t="e">
        <f>EXP(-E324*J324)*(D324*_xlfn.NORM.DIST(K324,0,1,TRUE)-G324*_xlfn.NORM.DIST(L324,0,1,TRUE))</f>
        <v>#N/A</v>
      </c>
      <c r="N324" s="3" t="e">
        <f>EXP(-E324*J324)*(G324*_xlfn.NORM.DIST(-L324,0,1,TRUE)-D324*_xlfn.NORM.DIST(-K324,0,1,TRUE))</f>
        <v>#N/A</v>
      </c>
      <c r="O324" s="3" t="e">
        <f>(M324-N324)=EXP(-E324*J324)*(D324-G324)</f>
        <v>#N/A</v>
      </c>
    </row>
    <row r="325" spans="5:15" x14ac:dyDescent="0.3">
      <c r="E325" s="2" t="e">
        <v>#N/A</v>
      </c>
      <c r="J325" s="3">
        <f>(F325-A325)/365</f>
        <v>0</v>
      </c>
      <c r="K325" s="3" t="e">
        <f>(LN(D325/G325)+H325^2*J325/2)/(H325*SQRT(J325))</f>
        <v>#DIV/0!</v>
      </c>
      <c r="L325" s="3" t="e">
        <f>K325-H325*SQRT(J325)</f>
        <v>#DIV/0!</v>
      </c>
      <c r="M325" s="3" t="e">
        <f>EXP(-E325*J325)*(D325*_xlfn.NORM.DIST(K325,0,1,TRUE)-G325*_xlfn.NORM.DIST(L325,0,1,TRUE))</f>
        <v>#N/A</v>
      </c>
      <c r="N325" s="3" t="e">
        <f>EXP(-E325*J325)*(G325*_xlfn.NORM.DIST(-L325,0,1,TRUE)-D325*_xlfn.NORM.DIST(-K325,0,1,TRUE))</f>
        <v>#N/A</v>
      </c>
      <c r="O325" s="3" t="e">
        <f>(M325-N325)=EXP(-E325*J325)*(D325-G325)</f>
        <v>#N/A</v>
      </c>
    </row>
    <row r="326" spans="5:15" x14ac:dyDescent="0.3">
      <c r="E326" s="2" t="e">
        <v>#N/A</v>
      </c>
      <c r="J326" s="3">
        <f>(F326-A326)/365</f>
        <v>0</v>
      </c>
      <c r="K326" s="3" t="e">
        <f>(LN(D326/G326)+H326^2*J326/2)/(H326*SQRT(J326))</f>
        <v>#DIV/0!</v>
      </c>
      <c r="L326" s="3" t="e">
        <f>K326-H326*SQRT(J326)</f>
        <v>#DIV/0!</v>
      </c>
      <c r="M326" s="3" t="e">
        <f>EXP(-E326*J326)*(D326*_xlfn.NORM.DIST(K326,0,1,TRUE)-G326*_xlfn.NORM.DIST(L326,0,1,TRUE))</f>
        <v>#N/A</v>
      </c>
      <c r="N326" s="3" t="e">
        <f>EXP(-E326*J326)*(G326*_xlfn.NORM.DIST(-L326,0,1,TRUE)-D326*_xlfn.NORM.DIST(-K326,0,1,TRUE))</f>
        <v>#N/A</v>
      </c>
      <c r="O326" s="3" t="e">
        <f>(M326-N326)=EXP(-E326*J326)*(D326-G326)</f>
        <v>#N/A</v>
      </c>
    </row>
    <row r="327" spans="5:15" x14ac:dyDescent="0.3">
      <c r="E327" s="2" t="e">
        <v>#N/A</v>
      </c>
      <c r="J327" s="3">
        <f>(F327-A327)/365</f>
        <v>0</v>
      </c>
      <c r="K327" s="3" t="e">
        <f>(LN(D327/G327)+H327^2*J327/2)/(H327*SQRT(J327))</f>
        <v>#DIV/0!</v>
      </c>
      <c r="L327" s="3" t="e">
        <f>K327-H327*SQRT(J327)</f>
        <v>#DIV/0!</v>
      </c>
      <c r="M327" s="3" t="e">
        <f>EXP(-E327*J327)*(D327*_xlfn.NORM.DIST(K327,0,1,TRUE)-G327*_xlfn.NORM.DIST(L327,0,1,TRUE))</f>
        <v>#N/A</v>
      </c>
      <c r="N327" s="3" t="e">
        <f>EXP(-E327*J327)*(G327*_xlfn.NORM.DIST(-L327,0,1,TRUE)-D327*_xlfn.NORM.DIST(-K327,0,1,TRUE))</f>
        <v>#N/A</v>
      </c>
      <c r="O327" s="3" t="e">
        <f>(M327-N327)=EXP(-E327*J327)*(D327-G327)</f>
        <v>#N/A</v>
      </c>
    </row>
    <row r="328" spans="5:15" x14ac:dyDescent="0.3">
      <c r="E328" s="2" t="e">
        <v>#N/A</v>
      </c>
      <c r="J328" s="3">
        <f>(F328-A328)/365</f>
        <v>0</v>
      </c>
      <c r="K328" s="3" t="e">
        <f>(LN(D328/G328)+H328^2*J328/2)/(H328*SQRT(J328))</f>
        <v>#DIV/0!</v>
      </c>
      <c r="L328" s="3" t="e">
        <f>K328-H328*SQRT(J328)</f>
        <v>#DIV/0!</v>
      </c>
      <c r="M328" s="3" t="e">
        <f>EXP(-E328*J328)*(D328*_xlfn.NORM.DIST(K328,0,1,TRUE)-G328*_xlfn.NORM.DIST(L328,0,1,TRUE))</f>
        <v>#N/A</v>
      </c>
      <c r="N328" s="3" t="e">
        <f>EXP(-E328*J328)*(G328*_xlfn.NORM.DIST(-L328,0,1,TRUE)-D328*_xlfn.NORM.DIST(-K328,0,1,TRUE))</f>
        <v>#N/A</v>
      </c>
      <c r="O328" s="3" t="e">
        <f>(M328-N328)=EXP(-E328*J328)*(D328-G328)</f>
        <v>#N/A</v>
      </c>
    </row>
    <row r="329" spans="5:15" x14ac:dyDescent="0.3">
      <c r="E329" s="2" t="e">
        <v>#N/A</v>
      </c>
      <c r="J329" s="3">
        <f>(F329-A329)/365</f>
        <v>0</v>
      </c>
      <c r="K329" s="3" t="e">
        <f>(LN(D329/G329)+H329^2*J329/2)/(H329*SQRT(J329))</f>
        <v>#DIV/0!</v>
      </c>
      <c r="L329" s="3" t="e">
        <f>K329-H329*SQRT(J329)</f>
        <v>#DIV/0!</v>
      </c>
      <c r="M329" s="3" t="e">
        <f>EXP(-E329*J329)*(D329*_xlfn.NORM.DIST(K329,0,1,TRUE)-G329*_xlfn.NORM.DIST(L329,0,1,TRUE))</f>
        <v>#N/A</v>
      </c>
      <c r="N329" s="3" t="e">
        <f>EXP(-E329*J329)*(G329*_xlfn.NORM.DIST(-L329,0,1,TRUE)-D329*_xlfn.NORM.DIST(-K329,0,1,TRUE))</f>
        <v>#N/A</v>
      </c>
      <c r="O329" s="3" t="e">
        <f>(M329-N329)=EXP(-E329*J329)*(D329-G329)</f>
        <v>#N/A</v>
      </c>
    </row>
    <row r="330" spans="5:15" x14ac:dyDescent="0.3">
      <c r="E330" s="2" t="e">
        <v>#N/A</v>
      </c>
      <c r="J330" s="3">
        <f>(F330-A330)/365</f>
        <v>0</v>
      </c>
      <c r="K330" s="3" t="e">
        <f>(LN(D330/G330)+H330^2*J330/2)/(H330*SQRT(J330))</f>
        <v>#DIV/0!</v>
      </c>
      <c r="L330" s="3" t="e">
        <f>K330-H330*SQRT(J330)</f>
        <v>#DIV/0!</v>
      </c>
      <c r="M330" s="3" t="e">
        <f>EXP(-E330*J330)*(D330*_xlfn.NORM.DIST(K330,0,1,TRUE)-G330*_xlfn.NORM.DIST(L330,0,1,TRUE))</f>
        <v>#N/A</v>
      </c>
      <c r="N330" s="3" t="e">
        <f>EXP(-E330*J330)*(G330*_xlfn.NORM.DIST(-L330,0,1,TRUE)-D330*_xlfn.NORM.DIST(-K330,0,1,TRUE))</f>
        <v>#N/A</v>
      </c>
      <c r="O330" s="3" t="e">
        <f>(M330-N330)=EXP(-E330*J330)*(D330-G330)</f>
        <v>#N/A</v>
      </c>
    </row>
    <row r="331" spans="5:15" x14ac:dyDescent="0.3">
      <c r="E331" s="2" t="e">
        <v>#N/A</v>
      </c>
      <c r="J331" s="3">
        <f>(F331-A331)/365</f>
        <v>0</v>
      </c>
      <c r="K331" s="3" t="e">
        <f>(LN(D331/G331)+H331^2*J331/2)/(H331*SQRT(J331))</f>
        <v>#DIV/0!</v>
      </c>
      <c r="L331" s="3" t="e">
        <f>K331-H331*SQRT(J331)</f>
        <v>#DIV/0!</v>
      </c>
      <c r="M331" s="3" t="e">
        <f>EXP(-E331*J331)*(D331*_xlfn.NORM.DIST(K331,0,1,TRUE)-G331*_xlfn.NORM.DIST(L331,0,1,TRUE))</f>
        <v>#N/A</v>
      </c>
      <c r="N331" s="3" t="e">
        <f>EXP(-E331*J331)*(G331*_xlfn.NORM.DIST(-L331,0,1,TRUE)-D331*_xlfn.NORM.DIST(-K331,0,1,TRUE))</f>
        <v>#N/A</v>
      </c>
      <c r="O331" s="3" t="e">
        <f>(M331-N331)=EXP(-E331*J331)*(D331-G331)</f>
        <v>#N/A</v>
      </c>
    </row>
    <row r="332" spans="5:15" x14ac:dyDescent="0.3">
      <c r="E332" s="2" t="e">
        <v>#N/A</v>
      </c>
      <c r="J332" s="3">
        <f>(F332-A332)/365</f>
        <v>0</v>
      </c>
      <c r="K332" s="3" t="e">
        <f>(LN(D332/G332)+H332^2*J332/2)/(H332*SQRT(J332))</f>
        <v>#DIV/0!</v>
      </c>
      <c r="L332" s="3" t="e">
        <f>K332-H332*SQRT(J332)</f>
        <v>#DIV/0!</v>
      </c>
      <c r="M332" s="3" t="e">
        <f>EXP(-E332*J332)*(D332*_xlfn.NORM.DIST(K332,0,1,TRUE)-G332*_xlfn.NORM.DIST(L332,0,1,TRUE))</f>
        <v>#N/A</v>
      </c>
      <c r="N332" s="3" t="e">
        <f>EXP(-E332*J332)*(G332*_xlfn.NORM.DIST(-L332,0,1,TRUE)-D332*_xlfn.NORM.DIST(-K332,0,1,TRUE))</f>
        <v>#N/A</v>
      </c>
      <c r="O332" s="3" t="e">
        <f>(M332-N332)=EXP(-E332*J332)*(D332-G332)</f>
        <v>#N/A</v>
      </c>
    </row>
    <row r="333" spans="5:15" x14ac:dyDescent="0.3">
      <c r="E333" s="2" t="e">
        <v>#N/A</v>
      </c>
      <c r="J333" s="3">
        <f>(F333-A333)/365</f>
        <v>0</v>
      </c>
      <c r="K333" s="3" t="e">
        <f>(LN(D333/G333)+H333^2*J333/2)/(H333*SQRT(J333))</f>
        <v>#DIV/0!</v>
      </c>
      <c r="L333" s="3" t="e">
        <f>K333-H333*SQRT(J333)</f>
        <v>#DIV/0!</v>
      </c>
      <c r="M333" s="3" t="e">
        <f>EXP(-E333*J333)*(D333*_xlfn.NORM.DIST(K333,0,1,TRUE)-G333*_xlfn.NORM.DIST(L333,0,1,TRUE))</f>
        <v>#N/A</v>
      </c>
      <c r="N333" s="3" t="e">
        <f>EXP(-E333*J333)*(G333*_xlfn.NORM.DIST(-L333,0,1,TRUE)-D333*_xlfn.NORM.DIST(-K333,0,1,TRUE))</f>
        <v>#N/A</v>
      </c>
      <c r="O333" s="3" t="e">
        <f>(M333-N333)=EXP(-E333*J333)*(D333-G333)</f>
        <v>#N/A</v>
      </c>
    </row>
    <row r="334" spans="5:15" x14ac:dyDescent="0.3">
      <c r="E334" s="2" t="e">
        <v>#N/A</v>
      </c>
      <c r="J334" s="3">
        <f>(F334-A334)/365</f>
        <v>0</v>
      </c>
      <c r="K334" s="3" t="e">
        <f>(LN(D334/G334)+H334^2*J334/2)/(H334*SQRT(J334))</f>
        <v>#DIV/0!</v>
      </c>
      <c r="L334" s="3" t="e">
        <f>K334-H334*SQRT(J334)</f>
        <v>#DIV/0!</v>
      </c>
      <c r="M334" s="3" t="e">
        <f>EXP(-E334*J334)*(D334*_xlfn.NORM.DIST(K334,0,1,TRUE)-G334*_xlfn.NORM.DIST(L334,0,1,TRUE))</f>
        <v>#N/A</v>
      </c>
      <c r="N334" s="3" t="e">
        <f>EXP(-E334*J334)*(G334*_xlfn.NORM.DIST(-L334,0,1,TRUE)-D334*_xlfn.NORM.DIST(-K334,0,1,TRUE))</f>
        <v>#N/A</v>
      </c>
      <c r="O334" s="3" t="e">
        <f>(M334-N334)=EXP(-E334*J334)*(D334-G334)</f>
        <v>#N/A</v>
      </c>
    </row>
    <row r="335" spans="5:15" x14ac:dyDescent="0.3">
      <c r="E335" s="2" t="e">
        <v>#N/A</v>
      </c>
      <c r="J335" s="3">
        <f>(F335-A335)/365</f>
        <v>0</v>
      </c>
      <c r="K335" s="3" t="e">
        <f>(LN(D335/G335)+H335^2*J335/2)/(H335*SQRT(J335))</f>
        <v>#DIV/0!</v>
      </c>
      <c r="L335" s="3" t="e">
        <f>K335-H335*SQRT(J335)</f>
        <v>#DIV/0!</v>
      </c>
      <c r="M335" s="3" t="e">
        <f>EXP(-E335*J335)*(D335*_xlfn.NORM.DIST(K335,0,1,TRUE)-G335*_xlfn.NORM.DIST(L335,0,1,TRUE))</f>
        <v>#N/A</v>
      </c>
      <c r="N335" s="3" t="e">
        <f>EXP(-E335*J335)*(G335*_xlfn.NORM.DIST(-L335,0,1,TRUE)-D335*_xlfn.NORM.DIST(-K335,0,1,TRUE))</f>
        <v>#N/A</v>
      </c>
      <c r="O335" s="3" t="e">
        <f>(M335-N335)=EXP(-E335*J335)*(D335-G335)</f>
        <v>#N/A</v>
      </c>
    </row>
    <row r="336" spans="5:15" x14ac:dyDescent="0.3">
      <c r="E336" s="2" t="e">
        <v>#N/A</v>
      </c>
      <c r="J336" s="3">
        <f>(F336-A336)/365</f>
        <v>0</v>
      </c>
      <c r="K336" s="3" t="e">
        <f>(LN(D336/G336)+H336^2*J336/2)/(H336*SQRT(J336))</f>
        <v>#DIV/0!</v>
      </c>
      <c r="L336" s="3" t="e">
        <f>K336-H336*SQRT(J336)</f>
        <v>#DIV/0!</v>
      </c>
      <c r="M336" s="3" t="e">
        <f>EXP(-E336*J336)*(D336*_xlfn.NORM.DIST(K336,0,1,TRUE)-G336*_xlfn.NORM.DIST(L336,0,1,TRUE))</f>
        <v>#N/A</v>
      </c>
      <c r="N336" s="3" t="e">
        <f>EXP(-E336*J336)*(G336*_xlfn.NORM.DIST(-L336,0,1,TRUE)-D336*_xlfn.NORM.DIST(-K336,0,1,TRUE))</f>
        <v>#N/A</v>
      </c>
      <c r="O336" s="3" t="e">
        <f>(M336-N336)=EXP(-E336*J336)*(D336-G336)</f>
        <v>#N/A</v>
      </c>
    </row>
    <row r="337" spans="5:15" x14ac:dyDescent="0.3">
      <c r="E337" s="2" t="e">
        <v>#N/A</v>
      </c>
      <c r="J337" s="3">
        <f>(F337-A337)/365</f>
        <v>0</v>
      </c>
      <c r="K337" s="3" t="e">
        <f>(LN(D337/G337)+H337^2*J337/2)/(H337*SQRT(J337))</f>
        <v>#DIV/0!</v>
      </c>
      <c r="L337" s="3" t="e">
        <f>K337-H337*SQRT(J337)</f>
        <v>#DIV/0!</v>
      </c>
      <c r="M337" s="3" t="e">
        <f>EXP(-E337*J337)*(D337*_xlfn.NORM.DIST(K337,0,1,TRUE)-G337*_xlfn.NORM.DIST(L337,0,1,TRUE))</f>
        <v>#N/A</v>
      </c>
      <c r="N337" s="3" t="e">
        <f>EXP(-E337*J337)*(G337*_xlfn.NORM.DIST(-L337,0,1,TRUE)-D337*_xlfn.NORM.DIST(-K337,0,1,TRUE))</f>
        <v>#N/A</v>
      </c>
      <c r="O337" s="3" t="e">
        <f>(M337-N337)=EXP(-E337*J337)*(D337-G337)</f>
        <v>#N/A</v>
      </c>
    </row>
    <row r="338" spans="5:15" x14ac:dyDescent="0.3">
      <c r="E338" s="2" t="e">
        <v>#N/A</v>
      </c>
      <c r="J338" s="3">
        <f>(F338-A338)/365</f>
        <v>0</v>
      </c>
      <c r="K338" s="3" t="e">
        <f>(LN(D338/G338)+H338^2*J338/2)/(H338*SQRT(J338))</f>
        <v>#DIV/0!</v>
      </c>
      <c r="L338" s="3" t="e">
        <f>K338-H338*SQRT(J338)</f>
        <v>#DIV/0!</v>
      </c>
      <c r="M338" s="3" t="e">
        <f>EXP(-E338*J338)*(D338*_xlfn.NORM.DIST(K338,0,1,TRUE)-G338*_xlfn.NORM.DIST(L338,0,1,TRUE))</f>
        <v>#N/A</v>
      </c>
      <c r="N338" s="3" t="e">
        <f>EXP(-E338*J338)*(G338*_xlfn.NORM.DIST(-L338,0,1,TRUE)-D338*_xlfn.NORM.DIST(-K338,0,1,TRUE))</f>
        <v>#N/A</v>
      </c>
      <c r="O338" s="3" t="e">
        <f>(M338-N338)=EXP(-E338*J338)*(D338-G338)</f>
        <v>#N/A</v>
      </c>
    </row>
    <row r="339" spans="5:15" x14ac:dyDescent="0.3">
      <c r="E339" s="2" t="e">
        <v>#N/A</v>
      </c>
      <c r="J339" s="3">
        <f>(F339-A339)/365</f>
        <v>0</v>
      </c>
      <c r="K339" s="3" t="e">
        <f>(LN(D339/G339)+H339^2*J339/2)/(H339*SQRT(J339))</f>
        <v>#DIV/0!</v>
      </c>
      <c r="L339" s="3" t="e">
        <f>K339-H339*SQRT(J339)</f>
        <v>#DIV/0!</v>
      </c>
      <c r="M339" s="3" t="e">
        <f>EXP(-E339*J339)*(D339*_xlfn.NORM.DIST(K339,0,1,TRUE)-G339*_xlfn.NORM.DIST(L339,0,1,TRUE))</f>
        <v>#N/A</v>
      </c>
      <c r="N339" s="3" t="e">
        <f>EXP(-E339*J339)*(G339*_xlfn.NORM.DIST(-L339,0,1,TRUE)-D339*_xlfn.NORM.DIST(-K339,0,1,TRUE))</f>
        <v>#N/A</v>
      </c>
      <c r="O339" s="3" t="e">
        <f>(M339-N339)=EXP(-E339*J339)*(D339-G339)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Surface1</vt:lpstr>
      <vt:lpstr>Surface2</vt:lpstr>
      <vt:lpstr>Surface3</vt:lpstr>
      <vt:lpstr>Surface4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Guzman-Lopez</dc:creator>
  <cp:lastModifiedBy>Jose Guzman-Lopez</cp:lastModifiedBy>
  <dcterms:created xsi:type="dcterms:W3CDTF">2025-11-27T10:23:38Z</dcterms:created>
  <dcterms:modified xsi:type="dcterms:W3CDTF">2025-11-27T10:36:55Z</dcterms:modified>
</cp:coreProperties>
</file>